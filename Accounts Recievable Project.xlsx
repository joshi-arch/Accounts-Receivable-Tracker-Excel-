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A:\docs\Assignment\Finance\Projects\"/>
    </mc:Choice>
  </mc:AlternateContent>
  <xr:revisionPtr revIDLastSave="0" documentId="13_ncr:1_{BD104E4A-879F-4479-8745-23E6618B14C3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OVER" sheetId="6" r:id="rId1"/>
    <sheet name="DASHBOARD" sheetId="5" r:id="rId2"/>
    <sheet name="IR" sheetId="1" r:id="rId3"/>
    <sheet name="PR" sheetId="2" r:id="rId4"/>
    <sheet name="CT" sheetId="4" r:id="rId5"/>
    <sheet name="ARD" sheetId="3" r:id="rId6"/>
    <sheet name="RS" sheetId="7" r:id="rId7"/>
  </sheets>
  <calcPr calcId="191029"/>
  <pivotCaches>
    <pivotCache cacheId="2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2" l="1"/>
  <c r="O9" i="7"/>
  <c r="O10" i="7"/>
  <c r="O11" i="7"/>
  <c r="O12" i="7"/>
  <c r="O13" i="7"/>
  <c r="O14" i="7"/>
  <c r="O15" i="7"/>
  <c r="O16" i="7"/>
  <c r="O17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P9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G8" i="7"/>
  <c r="J8" i="7"/>
  <c r="C9" i="7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K106" i="2"/>
  <c r="K107" i="2"/>
  <c r="K108" i="2"/>
  <c r="K109" i="2"/>
  <c r="K110" i="2"/>
  <c r="J111" i="2"/>
  <c r="U32" i="5"/>
  <c r="U30" i="5"/>
  <c r="U28" i="5"/>
  <c r="U26" i="5"/>
  <c r="U24" i="5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D7" i="2"/>
  <c r="G7" i="2" s="1"/>
  <c r="D8" i="2"/>
  <c r="E8" i="2" s="1"/>
  <c r="E10" i="7" s="1"/>
  <c r="L8" i="2"/>
  <c r="L10" i="7" s="1"/>
  <c r="D9" i="2"/>
  <c r="E9" i="2" s="1"/>
  <c r="E11" i="7" s="1"/>
  <c r="D10" i="2"/>
  <c r="D12" i="7" s="1"/>
  <c r="D11" i="2"/>
  <c r="D17" i="3" s="1"/>
  <c r="D12" i="2"/>
  <c r="D14" i="7" s="1"/>
  <c r="L12" i="2"/>
  <c r="L14" i="7" s="1"/>
  <c r="D13" i="2"/>
  <c r="D15" i="7" s="1"/>
  <c r="D14" i="2"/>
  <c r="D16" i="7" s="1"/>
  <c r="D15" i="2"/>
  <c r="E15" i="2" s="1"/>
  <c r="E17" i="7" s="1"/>
  <c r="D16" i="2"/>
  <c r="F16" i="2" s="1"/>
  <c r="L16" i="2"/>
  <c r="L18" i="7" s="1"/>
  <c r="D17" i="2"/>
  <c r="G17" i="2" s="1"/>
  <c r="D18" i="2"/>
  <c r="D20" i="7" s="1"/>
  <c r="D19" i="2"/>
  <c r="E19" i="2" s="1"/>
  <c r="E21" i="7" s="1"/>
  <c r="L19" i="2"/>
  <c r="L21" i="7" s="1"/>
  <c r="D20" i="2"/>
  <c r="I20" i="2" s="1"/>
  <c r="I22" i="7" s="1"/>
  <c r="D21" i="2"/>
  <c r="E21" i="2" s="1"/>
  <c r="E23" i="7" s="1"/>
  <c r="D22" i="2"/>
  <c r="D24" i="7" s="1"/>
  <c r="D23" i="2"/>
  <c r="E23" i="2" s="1"/>
  <c r="E25" i="7" s="1"/>
  <c r="D24" i="2"/>
  <c r="E24" i="2" s="1"/>
  <c r="E26" i="7" s="1"/>
  <c r="D25" i="2"/>
  <c r="D26" i="2"/>
  <c r="E26" i="2" s="1"/>
  <c r="E28" i="7" s="1"/>
  <c r="D27" i="2"/>
  <c r="D29" i="7" s="1"/>
  <c r="I27" i="2"/>
  <c r="I29" i="7" s="1"/>
  <c r="D28" i="2"/>
  <c r="G28" i="2" s="1"/>
  <c r="G30" i="7" s="1"/>
  <c r="L28" i="2"/>
  <c r="L30" i="7" s="1"/>
  <c r="D29" i="2"/>
  <c r="H29" i="2" s="1"/>
  <c r="H31" i="7" s="1"/>
  <c r="D30" i="2"/>
  <c r="D32" i="7" s="1"/>
  <c r="D31" i="2"/>
  <c r="D33" i="7" s="1"/>
  <c r="D32" i="2"/>
  <c r="F32" i="2" s="1"/>
  <c r="D33" i="2"/>
  <c r="D39" i="3" s="1"/>
  <c r="D34" i="2"/>
  <c r="E34" i="2" s="1"/>
  <c r="E36" i="7" s="1"/>
  <c r="D35" i="2"/>
  <c r="E35" i="2" s="1"/>
  <c r="E37" i="7" s="1"/>
  <c r="G35" i="2"/>
  <c r="G37" i="7" s="1"/>
  <c r="L35" i="2"/>
  <c r="L37" i="7" s="1"/>
  <c r="D36" i="2"/>
  <c r="H36" i="2" s="1"/>
  <c r="H38" i="7" s="1"/>
  <c r="D37" i="2"/>
  <c r="I37" i="2" s="1"/>
  <c r="I39" i="7" s="1"/>
  <c r="D38" i="2"/>
  <c r="D40" i="7" s="1"/>
  <c r="D39" i="2"/>
  <c r="D45" i="3" s="1"/>
  <c r="D40" i="2"/>
  <c r="G40" i="2" s="1"/>
  <c r="D41" i="2"/>
  <c r="D47" i="3" s="1"/>
  <c r="L41" i="2"/>
  <c r="L43" i="7" s="1"/>
  <c r="D42" i="2"/>
  <c r="E42" i="2" s="1"/>
  <c r="E44" i="7" s="1"/>
  <c r="D43" i="2"/>
  <c r="G43" i="2" s="1"/>
  <c r="L43" i="2" s="1"/>
  <c r="M43" i="2" s="1"/>
  <c r="M45" i="7" s="1"/>
  <c r="D44" i="2"/>
  <c r="D46" i="7" s="1"/>
  <c r="D45" i="2"/>
  <c r="D51" i="3" s="1"/>
  <c r="D46" i="2"/>
  <c r="D48" i="7" s="1"/>
  <c r="D47" i="2"/>
  <c r="E47" i="2" s="1"/>
  <c r="E49" i="7" s="1"/>
  <c r="D48" i="2"/>
  <c r="F48" i="2" s="1"/>
  <c r="K48" i="2" s="1"/>
  <c r="K50" i="7" s="1"/>
  <c r="D49" i="2"/>
  <c r="D51" i="7" s="1"/>
  <c r="D50" i="2"/>
  <c r="F50" i="2" s="1"/>
  <c r="F52" i="7" s="1"/>
  <c r="D51" i="2"/>
  <c r="D53" i="7" s="1"/>
  <c r="D52" i="2"/>
  <c r="E52" i="2" s="1"/>
  <c r="E54" i="7" s="1"/>
  <c r="D53" i="2"/>
  <c r="E53" i="2" s="1"/>
  <c r="E55" i="7" s="1"/>
  <c r="H53" i="2"/>
  <c r="H55" i="7" s="1"/>
  <c r="D54" i="2"/>
  <c r="D56" i="7" s="1"/>
  <c r="D55" i="2"/>
  <c r="F55" i="2" s="1"/>
  <c r="L55" i="2"/>
  <c r="L57" i="7" s="1"/>
  <c r="D56" i="2"/>
  <c r="I56" i="2" s="1"/>
  <c r="I58" i="7" s="1"/>
  <c r="D57" i="2"/>
  <c r="I57" i="2" s="1"/>
  <c r="I59" i="7" s="1"/>
  <c r="D58" i="2"/>
  <c r="D64" i="3" s="1"/>
  <c r="D59" i="2"/>
  <c r="D65" i="3" s="1"/>
  <c r="D60" i="2"/>
  <c r="E60" i="2" s="1"/>
  <c r="E62" i="7" s="1"/>
  <c r="D61" i="2"/>
  <c r="D63" i="7" s="1"/>
  <c r="D62" i="2"/>
  <c r="E62" i="2"/>
  <c r="E64" i="7" s="1"/>
  <c r="H62" i="2"/>
  <c r="H64" i="7" s="1"/>
  <c r="D63" i="2"/>
  <c r="G63" i="2" s="1"/>
  <c r="D64" i="2"/>
  <c r="F64" i="2" s="1"/>
  <c r="D65" i="2"/>
  <c r="D67" i="7" s="1"/>
  <c r="H65" i="2"/>
  <c r="H67" i="7" s="1"/>
  <c r="D66" i="2"/>
  <c r="F66" i="2" s="1"/>
  <c r="D67" i="2"/>
  <c r="E67" i="2" s="1"/>
  <c r="E69" i="7" s="1"/>
  <c r="D68" i="2"/>
  <c r="F68" i="2" s="1"/>
  <c r="D69" i="2"/>
  <c r="F69" i="2" s="1"/>
  <c r="D70" i="2"/>
  <c r="D72" i="7" s="1"/>
  <c r="D71" i="2"/>
  <c r="F71" i="2" s="1"/>
  <c r="D72" i="2"/>
  <c r="G72" i="2" s="1"/>
  <c r="D73" i="2"/>
  <c r="D75" i="7" s="1"/>
  <c r="D74" i="2"/>
  <c r="E74" i="2" s="1"/>
  <c r="E76" i="7" s="1"/>
  <c r="D75" i="2"/>
  <c r="G75" i="2" s="1"/>
  <c r="L75" i="2" s="1"/>
  <c r="D76" i="2"/>
  <c r="E76" i="2" s="1"/>
  <c r="E78" i="7" s="1"/>
  <c r="D77" i="2"/>
  <c r="D79" i="7" s="1"/>
  <c r="D78" i="2"/>
  <c r="D79" i="2"/>
  <c r="F79" i="2" s="1"/>
  <c r="L79" i="2"/>
  <c r="D80" i="2"/>
  <c r="F80" i="2" s="1"/>
  <c r="D81" i="2"/>
  <c r="H81" i="2" s="1"/>
  <c r="H83" i="7" s="1"/>
  <c r="D82" i="2"/>
  <c r="D84" i="7" s="1"/>
  <c r="D83" i="2"/>
  <c r="E83" i="2" s="1"/>
  <c r="E85" i="7" s="1"/>
  <c r="D84" i="2"/>
  <c r="E84" i="2" s="1"/>
  <c r="E86" i="7" s="1"/>
  <c r="D85" i="2"/>
  <c r="E85" i="2" s="1"/>
  <c r="E87" i="7" s="1"/>
  <c r="D86" i="2"/>
  <c r="H86" i="2" s="1"/>
  <c r="H88" i="7" s="1"/>
  <c r="D87" i="2"/>
  <c r="H87" i="2" s="1"/>
  <c r="H89" i="7" s="1"/>
  <c r="D88" i="2"/>
  <c r="D90" i="7" s="1"/>
  <c r="D89" i="2"/>
  <c r="D91" i="7" s="1"/>
  <c r="D90" i="2"/>
  <c r="E90" i="2" s="1"/>
  <c r="E92" i="7" s="1"/>
  <c r="D91" i="2"/>
  <c r="E91" i="2" s="1"/>
  <c r="E93" i="7" s="1"/>
  <c r="D92" i="2"/>
  <c r="D93" i="2"/>
  <c r="D95" i="7" s="1"/>
  <c r="D94" i="2"/>
  <c r="D96" i="7" s="1"/>
  <c r="D95" i="2"/>
  <c r="F95" i="2" s="1"/>
  <c r="D96" i="2"/>
  <c r="F96" i="2" s="1"/>
  <c r="K96" i="2" s="1"/>
  <c r="K98" i="7" s="1"/>
  <c r="D97" i="2"/>
  <c r="D99" i="7" s="1"/>
  <c r="D98" i="2"/>
  <c r="D104" i="3" s="1"/>
  <c r="E98" i="2"/>
  <c r="E100" i="7" s="1"/>
  <c r="L98" i="2"/>
  <c r="D99" i="2"/>
  <c r="G99" i="2" s="1"/>
  <c r="D100" i="2"/>
  <c r="E100" i="2" s="1"/>
  <c r="E102" i="7" s="1"/>
  <c r="D101" i="2"/>
  <c r="D103" i="7" s="1"/>
  <c r="D102" i="2"/>
  <c r="E102" i="2" s="1"/>
  <c r="E104" i="7" s="1"/>
  <c r="D103" i="2"/>
  <c r="E103" i="2" s="1"/>
  <c r="E105" i="7" s="1"/>
  <c r="D104" i="2"/>
  <c r="D106" i="7" s="1"/>
  <c r="D105" i="2"/>
  <c r="I105" i="2" s="1"/>
  <c r="I107" i="7" s="1"/>
  <c r="L6" i="2"/>
  <c r="L8" i="7" s="1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D37" i="3"/>
  <c r="D38" i="3"/>
  <c r="D48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D6" i="2"/>
  <c r="D8" i="7" s="1"/>
  <c r="C116" i="3"/>
  <c r="R16" i="3"/>
  <c r="R17" i="3" s="1"/>
  <c r="R18" i="3" s="1"/>
  <c r="R19" i="3" s="1"/>
  <c r="R20" i="3" s="1"/>
  <c r="R21" i="3" s="1"/>
  <c r="Q10" i="3"/>
  <c r="Q11" i="3" s="1"/>
  <c r="Q12" i="3" s="1"/>
  <c r="R10" i="3"/>
  <c r="R11" i="3" s="1"/>
  <c r="R12" i="3" s="1"/>
  <c r="R13" i="3" s="1"/>
  <c r="R14" i="3" s="1"/>
  <c r="R15" i="3" s="1"/>
  <c r="F8" i="3"/>
  <c r="C13" i="3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D71" i="3" l="1"/>
  <c r="F88" i="2"/>
  <c r="F90" i="7" s="1"/>
  <c r="D44" i="3"/>
  <c r="I58" i="2"/>
  <c r="I60" i="7" s="1"/>
  <c r="H98" i="2"/>
  <c r="H100" i="7" s="1"/>
  <c r="G58" i="2"/>
  <c r="D56" i="3"/>
  <c r="D32" i="3"/>
  <c r="H95" i="2"/>
  <c r="H97" i="7" s="1"/>
  <c r="E95" i="2"/>
  <c r="E97" i="7" s="1"/>
  <c r="F82" i="2"/>
  <c r="K82" i="2" s="1"/>
  <c r="K84" i="7" s="1"/>
  <c r="I24" i="2"/>
  <c r="I26" i="7" s="1"/>
  <c r="I43" i="2"/>
  <c r="I45" i="7" s="1"/>
  <c r="I32" i="2"/>
  <c r="I34" i="7" s="1"/>
  <c r="I100" i="2"/>
  <c r="I102" i="7" s="1"/>
  <c r="H79" i="2"/>
  <c r="H81" i="7" s="1"/>
  <c r="G54" i="2"/>
  <c r="G56" i="7" s="1"/>
  <c r="H100" i="2"/>
  <c r="H102" i="7" s="1"/>
  <c r="I90" i="2"/>
  <c r="I92" i="7" s="1"/>
  <c r="F54" i="2"/>
  <c r="F56" i="7" s="1"/>
  <c r="F28" i="2"/>
  <c r="F30" i="7" s="1"/>
  <c r="H17" i="2"/>
  <c r="H19" i="7" s="1"/>
  <c r="E36" i="2"/>
  <c r="E38" i="7" s="1"/>
  <c r="H27" i="2"/>
  <c r="H29" i="7" s="1"/>
  <c r="I16" i="2"/>
  <c r="I18" i="7" s="1"/>
  <c r="H16" i="2"/>
  <c r="H18" i="7" s="1"/>
  <c r="H32" i="2"/>
  <c r="H34" i="7" s="1"/>
  <c r="G86" i="2"/>
  <c r="L86" i="2" s="1"/>
  <c r="M86" i="2" s="1"/>
  <c r="M88" i="7" s="1"/>
  <c r="D55" i="7"/>
  <c r="E72" i="2"/>
  <c r="E74" i="7" s="1"/>
  <c r="D105" i="3"/>
  <c r="E57" i="2"/>
  <c r="E59" i="7" s="1"/>
  <c r="G53" i="2"/>
  <c r="L53" i="2" s="1"/>
  <c r="M53" i="2" s="1"/>
  <c r="M55" i="7" s="1"/>
  <c r="D45" i="7"/>
  <c r="F99" i="2"/>
  <c r="F101" i="7" s="1"/>
  <c r="E58" i="2"/>
  <c r="E60" i="7" s="1"/>
  <c r="F53" i="2"/>
  <c r="F55" i="7" s="1"/>
  <c r="H43" i="2"/>
  <c r="H45" i="7" s="1"/>
  <c r="G34" i="2"/>
  <c r="L34" i="2" s="1"/>
  <c r="D28" i="7"/>
  <c r="I79" i="2"/>
  <c r="I81" i="7" s="1"/>
  <c r="D19" i="7"/>
  <c r="D25" i="3"/>
  <c r="E88" i="2"/>
  <c r="E90" i="7" s="1"/>
  <c r="G79" i="2"/>
  <c r="G81" i="7" s="1"/>
  <c r="F52" i="2"/>
  <c r="F54" i="7" s="1"/>
  <c r="G16" i="2"/>
  <c r="G18" i="7" s="1"/>
  <c r="E87" i="2"/>
  <c r="E89" i="7" s="1"/>
  <c r="I22" i="2"/>
  <c r="I24" i="7" s="1"/>
  <c r="G45" i="7"/>
  <c r="D106" i="3"/>
  <c r="E55" i="2"/>
  <c r="E57" i="7" s="1"/>
  <c r="I50" i="2"/>
  <c r="I52" i="7" s="1"/>
  <c r="H22" i="2"/>
  <c r="H24" i="7" s="1"/>
  <c r="D42" i="3"/>
  <c r="L54" i="2"/>
  <c r="M54" i="2" s="1"/>
  <c r="M56" i="7" s="1"/>
  <c r="D60" i="3"/>
  <c r="I54" i="2"/>
  <c r="I56" i="7" s="1"/>
  <c r="G36" i="2"/>
  <c r="G20" i="2"/>
  <c r="L20" i="2" s="1"/>
  <c r="D57" i="3"/>
  <c r="E73" i="2"/>
  <c r="E75" i="7" s="1"/>
  <c r="H54" i="2"/>
  <c r="H56" i="7" s="1"/>
  <c r="F36" i="2"/>
  <c r="F38" i="7" s="1"/>
  <c r="I28" i="2"/>
  <c r="I30" i="7" s="1"/>
  <c r="D38" i="7"/>
  <c r="H80" i="2"/>
  <c r="H82" i="7" s="1"/>
  <c r="H97" i="2"/>
  <c r="H99" i="7" s="1"/>
  <c r="I88" i="2"/>
  <c r="I90" i="7" s="1"/>
  <c r="G80" i="2"/>
  <c r="L80" i="2" s="1"/>
  <c r="M80" i="2" s="1"/>
  <c r="M82" i="7" s="1"/>
  <c r="I46" i="2"/>
  <c r="I48" i="7" s="1"/>
  <c r="I36" i="2"/>
  <c r="I38" i="7" s="1"/>
  <c r="D49" i="3"/>
  <c r="G105" i="2"/>
  <c r="L105" i="2" s="1"/>
  <c r="M105" i="2" s="1"/>
  <c r="M107" i="7" s="1"/>
  <c r="G97" i="2"/>
  <c r="G88" i="2"/>
  <c r="L88" i="2" s="1"/>
  <c r="E80" i="2"/>
  <c r="E82" i="7" s="1"/>
  <c r="E46" i="2"/>
  <c r="E48" i="7" s="1"/>
  <c r="D18" i="7"/>
  <c r="F97" i="2"/>
  <c r="F99" i="7" s="1"/>
  <c r="D107" i="3"/>
  <c r="D22" i="3"/>
  <c r="F93" i="2"/>
  <c r="F95" i="7" s="1"/>
  <c r="H34" i="2"/>
  <c r="H36" i="7" s="1"/>
  <c r="D19" i="3"/>
  <c r="D59" i="7"/>
  <c r="D85" i="3"/>
  <c r="D15" i="3"/>
  <c r="F75" i="2"/>
  <c r="F77" i="7" s="1"/>
  <c r="F40" i="2"/>
  <c r="F42" i="7" s="1"/>
  <c r="D57" i="7"/>
  <c r="K79" i="2"/>
  <c r="K81" i="7" s="1"/>
  <c r="F81" i="7"/>
  <c r="F57" i="7"/>
  <c r="K55" i="2"/>
  <c r="K57" i="7" s="1"/>
  <c r="D90" i="3"/>
  <c r="H67" i="2"/>
  <c r="H69" i="7" s="1"/>
  <c r="I61" i="2"/>
  <c r="I63" i="7" s="1"/>
  <c r="G22" i="2"/>
  <c r="G24" i="7" s="1"/>
  <c r="D50" i="7"/>
  <c r="D88" i="3"/>
  <c r="I94" i="2"/>
  <c r="I96" i="7" s="1"/>
  <c r="E75" i="2"/>
  <c r="E77" i="7" s="1"/>
  <c r="G67" i="2"/>
  <c r="L67" i="2" s="1"/>
  <c r="M67" i="2" s="1"/>
  <c r="M69" i="7" s="1"/>
  <c r="H61" i="2"/>
  <c r="H63" i="7" s="1"/>
  <c r="H55" i="2"/>
  <c r="H57" i="7" s="1"/>
  <c r="H46" i="2"/>
  <c r="H48" i="7" s="1"/>
  <c r="E38" i="2"/>
  <c r="E40" i="7" s="1"/>
  <c r="F34" i="2"/>
  <c r="F36" i="7" s="1"/>
  <c r="E28" i="2"/>
  <c r="E30" i="7" s="1"/>
  <c r="F22" i="2"/>
  <c r="F24" i="7" s="1"/>
  <c r="F87" i="2"/>
  <c r="F89" i="7" s="1"/>
  <c r="F67" i="2"/>
  <c r="F69" i="7" s="1"/>
  <c r="F61" i="2"/>
  <c r="K61" i="2" s="1"/>
  <c r="K63" i="7" s="1"/>
  <c r="H52" i="2"/>
  <c r="H54" i="7" s="1"/>
  <c r="G46" i="2"/>
  <c r="E22" i="2"/>
  <c r="E24" i="7" s="1"/>
  <c r="G76" i="2"/>
  <c r="L76" i="2" s="1"/>
  <c r="M76" i="2" s="1"/>
  <c r="M78" i="7" s="1"/>
  <c r="D76" i="3"/>
  <c r="D37" i="7"/>
  <c r="D54" i="3"/>
  <c r="D73" i="3"/>
  <c r="I91" i="2"/>
  <c r="I93" i="7" s="1"/>
  <c r="G65" i="2"/>
  <c r="G67" i="7" s="1"/>
  <c r="G32" i="2"/>
  <c r="L32" i="2" s="1"/>
  <c r="M32" i="2" s="1"/>
  <c r="M34" i="7" s="1"/>
  <c r="F20" i="2"/>
  <c r="F22" i="7" s="1"/>
  <c r="E16" i="2"/>
  <c r="E18" i="7" s="1"/>
  <c r="D101" i="7"/>
  <c r="D36" i="7"/>
  <c r="D75" i="3"/>
  <c r="D72" i="3"/>
  <c r="E104" i="2"/>
  <c r="E106" i="7" s="1"/>
  <c r="H91" i="2"/>
  <c r="H93" i="7" s="1"/>
  <c r="F65" i="2"/>
  <c r="F67" i="7" s="1"/>
  <c r="E32" i="2"/>
  <c r="E34" i="7" s="1"/>
  <c r="E20" i="2"/>
  <c r="E22" i="7" s="1"/>
  <c r="D83" i="3"/>
  <c r="I84" i="2"/>
  <c r="I86" i="7" s="1"/>
  <c r="D28" i="3"/>
  <c r="H84" i="2"/>
  <c r="H86" i="7" s="1"/>
  <c r="H70" i="2"/>
  <c r="H72" i="7" s="1"/>
  <c r="I48" i="2"/>
  <c r="I50" i="7" s="1"/>
  <c r="H31" i="2"/>
  <c r="H33" i="7" s="1"/>
  <c r="G24" i="2"/>
  <c r="L24" i="2" s="1"/>
  <c r="J23" i="4" s="1"/>
  <c r="D86" i="7"/>
  <c r="D26" i="7"/>
  <c r="D39" i="7"/>
  <c r="D41" i="3"/>
  <c r="D69" i="3"/>
  <c r="D111" i="3"/>
  <c r="D67" i="3"/>
  <c r="D27" i="3"/>
  <c r="G84" i="2"/>
  <c r="G70" i="2"/>
  <c r="L70" i="2" s="1"/>
  <c r="M70" i="2" s="1"/>
  <c r="M72" i="7" s="1"/>
  <c r="F63" i="2"/>
  <c r="H57" i="2"/>
  <c r="H59" i="7" s="1"/>
  <c r="E54" i="2"/>
  <c r="E56" i="7" s="1"/>
  <c r="H48" i="2"/>
  <c r="H50" i="7" s="1"/>
  <c r="G31" i="2"/>
  <c r="L31" i="2" s="1"/>
  <c r="F24" i="2"/>
  <c r="F26" i="7" s="1"/>
  <c r="H19" i="2"/>
  <c r="H21" i="7" s="1"/>
  <c r="F50" i="7"/>
  <c r="D89" i="7"/>
  <c r="D109" i="3"/>
  <c r="F101" i="2"/>
  <c r="K101" i="2" s="1"/>
  <c r="K103" i="7" s="1"/>
  <c r="G96" i="2"/>
  <c r="E89" i="2"/>
  <c r="E91" i="7" s="1"/>
  <c r="F84" i="2"/>
  <c r="F70" i="2"/>
  <c r="F72" i="7" s="1"/>
  <c r="E63" i="2"/>
  <c r="E65" i="7" s="1"/>
  <c r="G57" i="2"/>
  <c r="L57" i="2" s="1"/>
  <c r="M57" i="2" s="1"/>
  <c r="M59" i="7" s="1"/>
  <c r="G48" i="2"/>
  <c r="I35" i="2"/>
  <c r="I37" i="7" s="1"/>
  <c r="I13" i="2"/>
  <c r="I15" i="7" s="1"/>
  <c r="D23" i="7"/>
  <c r="D102" i="3"/>
  <c r="D24" i="3"/>
  <c r="E96" i="2"/>
  <c r="E98" i="7" s="1"/>
  <c r="E70" i="2"/>
  <c r="E72" i="7" s="1"/>
  <c r="F57" i="2"/>
  <c r="F59" i="7" s="1"/>
  <c r="E48" i="2"/>
  <c r="E50" i="7" s="1"/>
  <c r="H41" i="2"/>
  <c r="H43" i="7" s="1"/>
  <c r="H35" i="2"/>
  <c r="H37" i="7" s="1"/>
  <c r="E18" i="2"/>
  <c r="E20" i="7" s="1"/>
  <c r="F71" i="7"/>
  <c r="K69" i="2"/>
  <c r="K71" i="7" s="1"/>
  <c r="K68" i="2"/>
  <c r="K70" i="7" s="1"/>
  <c r="F70" i="7"/>
  <c r="K95" i="2"/>
  <c r="K97" i="7" s="1"/>
  <c r="F97" i="7"/>
  <c r="L99" i="2"/>
  <c r="G101" i="7"/>
  <c r="F68" i="7"/>
  <c r="K66" i="2"/>
  <c r="K68" i="7" s="1"/>
  <c r="F73" i="7"/>
  <c r="K71" i="2"/>
  <c r="K73" i="7" s="1"/>
  <c r="H105" i="2"/>
  <c r="H107" i="7" s="1"/>
  <c r="I98" i="2"/>
  <c r="I100" i="7" s="1"/>
  <c r="I95" i="2"/>
  <c r="I97" i="7" s="1"/>
  <c r="I86" i="2"/>
  <c r="I88" i="7" s="1"/>
  <c r="F81" i="2"/>
  <c r="H76" i="2"/>
  <c r="H78" i="7" s="1"/>
  <c r="E71" i="2"/>
  <c r="E73" i="7" s="1"/>
  <c r="E68" i="2"/>
  <c r="E70" i="7" s="1"/>
  <c r="E64" i="2"/>
  <c r="E66" i="7" s="1"/>
  <c r="I41" i="2"/>
  <c r="I43" i="7" s="1"/>
  <c r="I12" i="2"/>
  <c r="I14" i="7" s="1"/>
  <c r="K99" i="2"/>
  <c r="K101" i="7" s="1"/>
  <c r="D107" i="7"/>
  <c r="D87" i="7"/>
  <c r="D43" i="7"/>
  <c r="L55" i="7"/>
  <c r="L17" i="2"/>
  <c r="G19" i="7"/>
  <c r="K54" i="2"/>
  <c r="K56" i="7" s="1"/>
  <c r="D66" i="7"/>
  <c r="D42" i="7"/>
  <c r="D22" i="7"/>
  <c r="F84" i="7"/>
  <c r="D108" i="3"/>
  <c r="D77" i="3"/>
  <c r="D26" i="3"/>
  <c r="F105" i="2"/>
  <c r="E101" i="2"/>
  <c r="E103" i="7" s="1"/>
  <c r="G98" i="2"/>
  <c r="G100" i="7" s="1"/>
  <c r="G95" i="2"/>
  <c r="F86" i="2"/>
  <c r="I80" i="2"/>
  <c r="I82" i="7" s="1"/>
  <c r="F76" i="2"/>
  <c r="I70" i="2"/>
  <c r="I72" i="7" s="1"/>
  <c r="I67" i="2"/>
  <c r="I69" i="7" s="1"/>
  <c r="E59" i="2"/>
  <c r="E61" i="7" s="1"/>
  <c r="I59" i="2"/>
  <c r="I61" i="7" s="1"/>
  <c r="H47" i="2"/>
  <c r="H49" i="7" s="1"/>
  <c r="D49" i="7"/>
  <c r="G41" i="2"/>
  <c r="G43" i="7" s="1"/>
  <c r="K32" i="2"/>
  <c r="K34" i="7" s="1"/>
  <c r="F34" i="7"/>
  <c r="H20" i="2"/>
  <c r="H22" i="7" s="1"/>
  <c r="E11" i="2"/>
  <c r="E13" i="7" s="1"/>
  <c r="K93" i="2"/>
  <c r="K95" i="7" s="1"/>
  <c r="D105" i="7"/>
  <c r="D85" i="7"/>
  <c r="D61" i="7"/>
  <c r="D41" i="7"/>
  <c r="D21" i="7"/>
  <c r="E105" i="2"/>
  <c r="E107" i="7" s="1"/>
  <c r="F98" i="2"/>
  <c r="G91" i="2"/>
  <c r="F90" i="4" s="1"/>
  <c r="F91" i="2"/>
  <c r="E90" i="4" s="1"/>
  <c r="E86" i="2"/>
  <c r="E88" i="7" s="1"/>
  <c r="G52" i="2"/>
  <c r="F51" i="4" s="1"/>
  <c r="I52" i="2"/>
  <c r="I54" i="7" s="1"/>
  <c r="F41" i="2"/>
  <c r="G22" i="7"/>
  <c r="D104" i="7"/>
  <c r="D60" i="7"/>
  <c r="D82" i="3"/>
  <c r="D78" i="7"/>
  <c r="L63" i="2"/>
  <c r="G65" i="7"/>
  <c r="L58" i="2"/>
  <c r="G60" i="7"/>
  <c r="I51" i="2"/>
  <c r="I53" i="7" s="1"/>
  <c r="E41" i="2"/>
  <c r="E43" i="7" s="1"/>
  <c r="E25" i="2"/>
  <c r="E27" i="7" s="1"/>
  <c r="F25" i="2"/>
  <c r="I25" i="2"/>
  <c r="I27" i="7" s="1"/>
  <c r="E10" i="2"/>
  <c r="E12" i="7" s="1"/>
  <c r="D83" i="7"/>
  <c r="L88" i="7"/>
  <c r="K64" i="2"/>
  <c r="K66" i="7" s="1"/>
  <c r="F66" i="7"/>
  <c r="D101" i="3"/>
  <c r="D97" i="7"/>
  <c r="K50" i="2"/>
  <c r="K52" i="7" s="1"/>
  <c r="D102" i="7"/>
  <c r="D82" i="7"/>
  <c r="D58" i="7"/>
  <c r="K80" i="2"/>
  <c r="K82" i="7" s="1"/>
  <c r="F82" i="7"/>
  <c r="D77" i="7"/>
  <c r="D13" i="7"/>
  <c r="D74" i="3"/>
  <c r="D16" i="3"/>
  <c r="H103" i="2"/>
  <c r="H105" i="7" s="1"/>
  <c r="G100" i="2"/>
  <c r="L97" i="2"/>
  <c r="G99" i="7"/>
  <c r="H94" i="2"/>
  <c r="H96" i="7" s="1"/>
  <c r="M79" i="2"/>
  <c r="M81" i="7" s="1"/>
  <c r="M75" i="2"/>
  <c r="M77" i="7" s="1"/>
  <c r="L77" i="7"/>
  <c r="G62" i="2"/>
  <c r="D64" i="7"/>
  <c r="I62" i="2"/>
  <c r="I64" i="7" s="1"/>
  <c r="H50" i="2"/>
  <c r="H52" i="7" s="1"/>
  <c r="E40" i="2"/>
  <c r="E42" i="7" s="1"/>
  <c r="F9" i="2"/>
  <c r="E8" i="4" s="1"/>
  <c r="G9" i="2"/>
  <c r="H9" i="2"/>
  <c r="H11" i="7" s="1"/>
  <c r="I9" i="2"/>
  <c r="I11" i="7" s="1"/>
  <c r="K88" i="2"/>
  <c r="K90" i="7" s="1"/>
  <c r="D100" i="7"/>
  <c r="D76" i="7"/>
  <c r="D66" i="3"/>
  <c r="D62" i="7"/>
  <c r="D97" i="3"/>
  <c r="F103" i="2"/>
  <c r="F100" i="2"/>
  <c r="G94" i="2"/>
  <c r="H69" i="2"/>
  <c r="H71" i="7" s="1"/>
  <c r="E66" i="2"/>
  <c r="E68" i="7" s="1"/>
  <c r="I66" i="2"/>
  <c r="I68" i="7" s="1"/>
  <c r="G50" i="2"/>
  <c r="L40" i="2"/>
  <c r="J39" i="4" s="1"/>
  <c r="G42" i="7"/>
  <c r="I29" i="2"/>
  <c r="I31" i="7" s="1"/>
  <c r="D31" i="7"/>
  <c r="K67" i="2"/>
  <c r="K69" i="7" s="1"/>
  <c r="D35" i="7"/>
  <c r="D11" i="7"/>
  <c r="F98" i="7"/>
  <c r="L46" i="2"/>
  <c r="G48" i="7"/>
  <c r="F45" i="2"/>
  <c r="D47" i="7"/>
  <c r="D96" i="3"/>
  <c r="D70" i="3"/>
  <c r="D13" i="3"/>
  <c r="E94" i="2"/>
  <c r="E96" i="7" s="1"/>
  <c r="E50" i="2"/>
  <c r="E52" i="7" s="1"/>
  <c r="H44" i="2"/>
  <c r="H46" i="7" s="1"/>
  <c r="M34" i="2"/>
  <c r="M36" i="7" s="1"/>
  <c r="L36" i="7"/>
  <c r="I19" i="2"/>
  <c r="I21" i="7" s="1"/>
  <c r="F18" i="7"/>
  <c r="K16" i="2"/>
  <c r="K18" i="7" s="1"/>
  <c r="G8" i="2"/>
  <c r="G10" i="7" s="1"/>
  <c r="D98" i="7"/>
  <c r="D74" i="7"/>
  <c r="D54" i="7"/>
  <c r="D34" i="7"/>
  <c r="D10" i="7"/>
  <c r="D93" i="7"/>
  <c r="D73" i="7"/>
  <c r="D9" i="7"/>
  <c r="G77" i="7"/>
  <c r="L59" i="7"/>
  <c r="L65" i="2"/>
  <c r="D91" i="3"/>
  <c r="I102" i="2"/>
  <c r="I104" i="7" s="1"/>
  <c r="I96" i="2"/>
  <c r="I98" i="7" s="1"/>
  <c r="I93" i="2"/>
  <c r="I95" i="7" s="1"/>
  <c r="I72" i="2"/>
  <c r="I74" i="7" s="1"/>
  <c r="F38" i="2"/>
  <c r="E37" i="4" s="1"/>
  <c r="G38" i="2"/>
  <c r="F37" i="4" s="1"/>
  <c r="H38" i="2"/>
  <c r="H40" i="7" s="1"/>
  <c r="I38" i="2"/>
  <c r="I40" i="7" s="1"/>
  <c r="H28" i="2"/>
  <c r="H30" i="7" s="1"/>
  <c r="G19" i="2"/>
  <c r="G21" i="7" s="1"/>
  <c r="D21" i="3"/>
  <c r="F15" i="2"/>
  <c r="G15" i="2"/>
  <c r="H15" i="2"/>
  <c r="H17" i="7" s="1"/>
  <c r="D17" i="7"/>
  <c r="I15" i="2"/>
  <c r="I17" i="7" s="1"/>
  <c r="F7" i="2"/>
  <c r="D92" i="7"/>
  <c r="D52" i="7"/>
  <c r="L56" i="7"/>
  <c r="D92" i="3"/>
  <c r="I69" i="2"/>
  <c r="I71" i="7" s="1"/>
  <c r="E69" i="2"/>
  <c r="E71" i="7" s="1"/>
  <c r="G69" i="2"/>
  <c r="D35" i="3"/>
  <c r="H102" i="2"/>
  <c r="H104" i="7" s="1"/>
  <c r="H96" i="2"/>
  <c r="H98" i="7" s="1"/>
  <c r="H93" i="2"/>
  <c r="H95" i="7" s="1"/>
  <c r="E79" i="2"/>
  <c r="E81" i="7" s="1"/>
  <c r="D81" i="7"/>
  <c r="F72" i="2"/>
  <c r="E71" i="4" s="1"/>
  <c r="I68" i="2"/>
  <c r="I70" i="7" s="1"/>
  <c r="I60" i="2"/>
  <c r="I62" i="7" s="1"/>
  <c r="D40" i="3"/>
  <c r="I34" i="2"/>
  <c r="I36" i="7" s="1"/>
  <c r="F19" i="2"/>
  <c r="E7" i="2"/>
  <c r="E9" i="7" s="1"/>
  <c r="D71" i="7"/>
  <c r="D27" i="7"/>
  <c r="G82" i="7"/>
  <c r="E78" i="2"/>
  <c r="E80" i="7" s="1"/>
  <c r="D80" i="7"/>
  <c r="I64" i="2"/>
  <c r="I66" i="7" s="1"/>
  <c r="L22" i="2"/>
  <c r="L7" i="2"/>
  <c r="G9" i="7"/>
  <c r="D70" i="7"/>
  <c r="G102" i="2"/>
  <c r="H68" i="2"/>
  <c r="H70" i="7" s="1"/>
  <c r="H60" i="2"/>
  <c r="H62" i="7" s="1"/>
  <c r="D87" i="3"/>
  <c r="D31" i="3"/>
  <c r="F102" i="2"/>
  <c r="G82" i="2"/>
  <c r="E82" i="2"/>
  <c r="E84" i="7" s="1"/>
  <c r="L72" i="2"/>
  <c r="G74" i="7"/>
  <c r="G68" i="2"/>
  <c r="H64" i="2"/>
  <c r="H66" i="7" s="1"/>
  <c r="G60" i="2"/>
  <c r="K57" i="2"/>
  <c r="K59" i="7" s="1"/>
  <c r="D69" i="7"/>
  <c r="D25" i="7"/>
  <c r="L81" i="7"/>
  <c r="D86" i="3"/>
  <c r="D58" i="3"/>
  <c r="D29" i="3"/>
  <c r="J97" i="4"/>
  <c r="L100" i="7"/>
  <c r="E92" i="2"/>
  <c r="E94" i="7" s="1"/>
  <c r="D94" i="7"/>
  <c r="G81" i="2"/>
  <c r="I76" i="2"/>
  <c r="I78" i="7" s="1"/>
  <c r="G64" i="2"/>
  <c r="F60" i="2"/>
  <c r="L36" i="2"/>
  <c r="G38" i="7"/>
  <c r="D34" i="3"/>
  <c r="J34" i="3" s="1"/>
  <c r="D30" i="7"/>
  <c r="F18" i="2"/>
  <c r="G18" i="2"/>
  <c r="H18" i="2"/>
  <c r="H20" i="7" s="1"/>
  <c r="I18" i="2"/>
  <c r="I20" i="7" s="1"/>
  <c r="D88" i="7"/>
  <c r="D68" i="7"/>
  <c r="D44" i="7"/>
  <c r="F43" i="2"/>
  <c r="D65" i="7"/>
  <c r="E43" i="2"/>
  <c r="E45" i="7" s="1"/>
  <c r="F35" i="2"/>
  <c r="E34" i="4" s="1"/>
  <c r="G21" i="2"/>
  <c r="L45" i="7"/>
  <c r="M35" i="2"/>
  <c r="M37" i="7" s="1"/>
  <c r="D18" i="3"/>
  <c r="E12" i="2"/>
  <c r="E14" i="7" s="1"/>
  <c r="F12" i="2"/>
  <c r="H12" i="2"/>
  <c r="G12" i="2"/>
  <c r="G14" i="7" s="1"/>
  <c r="F62" i="2"/>
  <c r="D68" i="3"/>
  <c r="G55" i="2"/>
  <c r="I55" i="2"/>
  <c r="I57" i="7" s="1"/>
  <c r="D61" i="3"/>
  <c r="J61" i="3" s="1"/>
  <c r="E51" i="2"/>
  <c r="F51" i="2"/>
  <c r="G51" i="2"/>
  <c r="H51" i="2"/>
  <c r="E97" i="2"/>
  <c r="I97" i="2"/>
  <c r="I99" i="7" s="1"/>
  <c r="D89" i="3"/>
  <c r="E93" i="2"/>
  <c r="E95" i="7" s="1"/>
  <c r="G93" i="2"/>
  <c r="D99" i="3"/>
  <c r="G66" i="2"/>
  <c r="H66" i="2"/>
  <c r="G90" i="2"/>
  <c r="H85" i="2"/>
  <c r="H87" i="7" s="1"/>
  <c r="I83" i="2"/>
  <c r="I85" i="7" s="1"/>
  <c r="G59" i="2"/>
  <c r="F59" i="2"/>
  <c r="H59" i="2"/>
  <c r="H45" i="2"/>
  <c r="M28" i="2"/>
  <c r="M30" i="7" s="1"/>
  <c r="I26" i="2"/>
  <c r="I28" i="7" s="1"/>
  <c r="F21" i="2"/>
  <c r="F8" i="2"/>
  <c r="E49" i="2"/>
  <c r="I49" i="2"/>
  <c r="I51" i="7" s="1"/>
  <c r="D55" i="3"/>
  <c r="G49" i="2"/>
  <c r="H49" i="2"/>
  <c r="I53" i="2"/>
  <c r="I55" i="7" s="1"/>
  <c r="D59" i="3"/>
  <c r="G11" i="2"/>
  <c r="H11" i="2"/>
  <c r="F11" i="2"/>
  <c r="E10" i="4" s="1"/>
  <c r="I11" i="2"/>
  <c r="I13" i="7" s="1"/>
  <c r="H88" i="2"/>
  <c r="H90" i="7" s="1"/>
  <c r="D94" i="3"/>
  <c r="E77" i="2"/>
  <c r="E79" i="7" s="1"/>
  <c r="G77" i="2"/>
  <c r="F77" i="2"/>
  <c r="H77" i="2"/>
  <c r="I77" i="2"/>
  <c r="I79" i="7" s="1"/>
  <c r="E17" i="2"/>
  <c r="F17" i="2"/>
  <c r="I17" i="2"/>
  <c r="I19" i="7" s="1"/>
  <c r="D23" i="3"/>
  <c r="D63" i="3"/>
  <c r="I101" i="2"/>
  <c r="I103" i="7" s="1"/>
  <c r="G101" i="2"/>
  <c r="H101" i="2"/>
  <c r="I92" i="2"/>
  <c r="I94" i="7" s="1"/>
  <c r="H83" i="2"/>
  <c r="E81" i="2"/>
  <c r="I81" i="2"/>
  <c r="I83" i="7" s="1"/>
  <c r="I74" i="2"/>
  <c r="I76" i="7" s="1"/>
  <c r="E31" i="2"/>
  <c r="F31" i="2"/>
  <c r="I31" i="2"/>
  <c r="I33" i="7" s="1"/>
  <c r="F14" i="2"/>
  <c r="G14" i="2"/>
  <c r="D20" i="3"/>
  <c r="E14" i="2"/>
  <c r="E16" i="7" s="1"/>
  <c r="H14" i="2"/>
  <c r="I14" i="2"/>
  <c r="I16" i="7" s="1"/>
  <c r="F89" i="2"/>
  <c r="G89" i="2"/>
  <c r="H89" i="2"/>
  <c r="F78" i="2"/>
  <c r="D84" i="3"/>
  <c r="I78" i="2"/>
  <c r="I80" i="7" s="1"/>
  <c r="J40" i="4"/>
  <c r="D95" i="3"/>
  <c r="D43" i="3"/>
  <c r="E99" i="2"/>
  <c r="H99" i="2"/>
  <c r="H101" i="7" s="1"/>
  <c r="I99" i="2"/>
  <c r="I101" i="7" s="1"/>
  <c r="F92" i="2"/>
  <c r="F90" i="2"/>
  <c r="H90" i="2"/>
  <c r="I85" i="2"/>
  <c r="I87" i="7" s="1"/>
  <c r="F85" i="2"/>
  <c r="G85" i="2"/>
  <c r="G83" i="2"/>
  <c r="G74" i="2"/>
  <c r="I47" i="2"/>
  <c r="I49" i="7" s="1"/>
  <c r="E45" i="2"/>
  <c r="E47" i="7" s="1"/>
  <c r="G45" i="2"/>
  <c r="I45" i="2"/>
  <c r="I47" i="7" s="1"/>
  <c r="F26" i="2"/>
  <c r="G26" i="2"/>
  <c r="F25" i="4" s="1"/>
  <c r="H26" i="2"/>
  <c r="G23" i="2"/>
  <c r="H23" i="2"/>
  <c r="I23" i="2"/>
  <c r="I25" i="7" s="1"/>
  <c r="F23" i="2"/>
  <c r="I21" i="2"/>
  <c r="H21" i="2"/>
  <c r="H8" i="2"/>
  <c r="D14" i="3"/>
  <c r="I8" i="2"/>
  <c r="I10" i="7" s="1"/>
  <c r="F83" i="2"/>
  <c r="G39" i="2"/>
  <c r="H39" i="2"/>
  <c r="I39" i="2"/>
  <c r="I41" i="7" s="1"/>
  <c r="F30" i="2"/>
  <c r="D36" i="3"/>
  <c r="H104" i="2"/>
  <c r="D110" i="3"/>
  <c r="G104" i="2"/>
  <c r="F73" i="2"/>
  <c r="G73" i="2"/>
  <c r="D79" i="3"/>
  <c r="D50" i="3"/>
  <c r="E44" i="2"/>
  <c r="E46" i="7" s="1"/>
  <c r="F44" i="2"/>
  <c r="G44" i="2"/>
  <c r="G27" i="2"/>
  <c r="E27" i="2"/>
  <c r="E29" i="7" s="1"/>
  <c r="F27" i="2"/>
  <c r="D98" i="3"/>
  <c r="G92" i="2"/>
  <c r="H92" i="2"/>
  <c r="H94" i="7" s="1"/>
  <c r="F74" i="2"/>
  <c r="E73" i="4" s="1"/>
  <c r="H74" i="2"/>
  <c r="D80" i="3"/>
  <c r="H37" i="2"/>
  <c r="H39" i="7" s="1"/>
  <c r="E33" i="2"/>
  <c r="E35" i="7" s="1"/>
  <c r="I33" i="2"/>
  <c r="I35" i="7" s="1"/>
  <c r="F33" i="2"/>
  <c r="G33" i="2"/>
  <c r="H33" i="2"/>
  <c r="I30" i="2"/>
  <c r="D33" i="3"/>
  <c r="H56" i="2"/>
  <c r="D62" i="3"/>
  <c r="E56" i="2"/>
  <c r="E58" i="7" s="1"/>
  <c r="F56" i="2"/>
  <c r="G56" i="2"/>
  <c r="F55" i="4" s="1"/>
  <c r="F47" i="2"/>
  <c r="G47" i="2"/>
  <c r="F42" i="2"/>
  <c r="H42" i="2"/>
  <c r="H44" i="7" s="1"/>
  <c r="G42" i="2"/>
  <c r="I42" i="2"/>
  <c r="I44" i="7" s="1"/>
  <c r="G37" i="2"/>
  <c r="H30" i="2"/>
  <c r="I104" i="2"/>
  <c r="I106" i="7" s="1"/>
  <c r="H78" i="2"/>
  <c r="I73" i="2"/>
  <c r="I75" i="7" s="1"/>
  <c r="G71" i="2"/>
  <c r="I71" i="2"/>
  <c r="H71" i="2"/>
  <c r="J78" i="4"/>
  <c r="M41" i="2"/>
  <c r="M43" i="7" s="1"/>
  <c r="F39" i="2"/>
  <c r="F37" i="2"/>
  <c r="G30" i="2"/>
  <c r="E13" i="2"/>
  <c r="F13" i="2"/>
  <c r="G13" i="2"/>
  <c r="H13" i="2"/>
  <c r="D103" i="3"/>
  <c r="D53" i="3"/>
  <c r="F104" i="2"/>
  <c r="I89" i="2"/>
  <c r="I91" i="7" s="1"/>
  <c r="G78" i="2"/>
  <c r="H73" i="2"/>
  <c r="H75" i="7" s="1"/>
  <c r="F49" i="2"/>
  <c r="I44" i="2"/>
  <c r="I46" i="7" s="1"/>
  <c r="E39" i="2"/>
  <c r="E41" i="7" s="1"/>
  <c r="E37" i="2"/>
  <c r="E39" i="7" s="1"/>
  <c r="E30" i="2"/>
  <c r="G25" i="2"/>
  <c r="H25" i="2"/>
  <c r="H27" i="7" s="1"/>
  <c r="F10" i="2"/>
  <c r="G10" i="2"/>
  <c r="H10" i="2"/>
  <c r="I10" i="2"/>
  <c r="I12" i="7" s="1"/>
  <c r="D81" i="3"/>
  <c r="I82" i="2"/>
  <c r="H72" i="2"/>
  <c r="D78" i="3"/>
  <c r="I63" i="2"/>
  <c r="I65" i="7" s="1"/>
  <c r="F46" i="2"/>
  <c r="D52" i="3"/>
  <c r="H24" i="2"/>
  <c r="D30" i="3"/>
  <c r="H82" i="2"/>
  <c r="I75" i="2"/>
  <c r="I77" i="7" s="1"/>
  <c r="E65" i="2"/>
  <c r="I65" i="2"/>
  <c r="I67" i="7" s="1"/>
  <c r="H63" i="2"/>
  <c r="F58" i="2"/>
  <c r="H58" i="2"/>
  <c r="J54" i="4"/>
  <c r="J18" i="4"/>
  <c r="I40" i="2"/>
  <c r="I42" i="7" s="1"/>
  <c r="G103" i="2"/>
  <c r="I103" i="2"/>
  <c r="I105" i="7" s="1"/>
  <c r="H75" i="2"/>
  <c r="G87" i="2"/>
  <c r="F86" i="4" s="1"/>
  <c r="I87" i="2"/>
  <c r="I89" i="7" s="1"/>
  <c r="H40" i="2"/>
  <c r="D46" i="3"/>
  <c r="D93" i="3"/>
  <c r="F94" i="2"/>
  <c r="D100" i="3"/>
  <c r="E61" i="2"/>
  <c r="G61" i="2"/>
  <c r="E29" i="2"/>
  <c r="E31" i="7" s="1"/>
  <c r="F29" i="2"/>
  <c r="G29" i="2"/>
  <c r="I7" i="2"/>
  <c r="I9" i="7" s="1"/>
  <c r="H7" i="2"/>
  <c r="H9" i="7" s="1"/>
  <c r="D18" i="4"/>
  <c r="H6" i="2"/>
  <c r="H8" i="7" s="1"/>
  <c r="G53" i="4"/>
  <c r="E33" i="4"/>
  <c r="I6" i="2"/>
  <c r="I8" i="7" s="1"/>
  <c r="D73" i="4"/>
  <c r="G96" i="4"/>
  <c r="H11" i="4"/>
  <c r="F8" i="4"/>
  <c r="D8" i="4"/>
  <c r="D56" i="4"/>
  <c r="D12" i="3"/>
  <c r="J12" i="3" s="1"/>
  <c r="F74" i="4"/>
  <c r="E53" i="4"/>
  <c r="D53" i="4"/>
  <c r="D74" i="4"/>
  <c r="G21" i="4"/>
  <c r="G69" i="4"/>
  <c r="G104" i="4"/>
  <c r="E54" i="4"/>
  <c r="E6" i="2"/>
  <c r="D54" i="4"/>
  <c r="D85" i="4"/>
  <c r="F6" i="2"/>
  <c r="D21" i="4"/>
  <c r="D57" i="4"/>
  <c r="D88" i="4"/>
  <c r="D45" i="4"/>
  <c r="G99" i="4"/>
  <c r="D89" i="4"/>
  <c r="E70" i="4"/>
  <c r="E52" i="4"/>
  <c r="H89" i="4"/>
  <c r="F27" i="4"/>
  <c r="J34" i="4"/>
  <c r="E74" i="4"/>
  <c r="G86" i="4"/>
  <c r="G85" i="4"/>
  <c r="G45" i="4"/>
  <c r="D102" i="4"/>
  <c r="D69" i="4"/>
  <c r="E31" i="4"/>
  <c r="J85" i="3"/>
  <c r="J47" i="3"/>
  <c r="J41" i="3"/>
  <c r="J25" i="3"/>
  <c r="M6" i="2"/>
  <c r="M8" i="7" s="1"/>
  <c r="O8" i="7" s="1"/>
  <c r="P8" i="7" s="1"/>
  <c r="Q8" i="7" s="1"/>
  <c r="J104" i="3"/>
  <c r="F71" i="4"/>
  <c r="E86" i="4"/>
  <c r="J27" i="4"/>
  <c r="F85" i="4"/>
  <c r="E24" i="4"/>
  <c r="J11" i="4"/>
  <c r="J18" i="3"/>
  <c r="J5" i="4"/>
  <c r="E15" i="4"/>
  <c r="E56" i="4"/>
  <c r="F57" i="4"/>
  <c r="F21" i="4"/>
  <c r="F7" i="4"/>
  <c r="F56" i="4"/>
  <c r="F42" i="4"/>
  <c r="J49" i="3"/>
  <c r="H60" i="4"/>
  <c r="G97" i="4"/>
  <c r="G95" i="4"/>
  <c r="D75" i="4"/>
  <c r="D7" i="4"/>
  <c r="D84" i="4"/>
  <c r="G52" i="4"/>
  <c r="D52" i="4"/>
  <c r="D99" i="4"/>
  <c r="D83" i="4"/>
  <c r="G83" i="4"/>
  <c r="G35" i="4"/>
  <c r="D34" i="4"/>
  <c r="G31" i="4"/>
  <c r="G64" i="4"/>
  <c r="D66" i="4"/>
  <c r="G66" i="4"/>
  <c r="G33" i="4"/>
  <c r="D33" i="4"/>
  <c r="G47" i="4"/>
  <c r="D47" i="4"/>
  <c r="G61" i="4"/>
  <c r="D51" i="4"/>
  <c r="G51" i="4"/>
  <c r="H34" i="4"/>
  <c r="G16" i="4"/>
  <c r="G80" i="4"/>
  <c r="D67" i="4"/>
  <c r="E74" i="3" s="1"/>
  <c r="G18" i="4"/>
  <c r="G15" i="4"/>
  <c r="D95" i="4"/>
  <c r="D17" i="4"/>
  <c r="G79" i="4"/>
  <c r="H45" i="4"/>
  <c r="G28" i="4"/>
  <c r="G90" i="4"/>
  <c r="G42" i="4"/>
  <c r="G26" i="4"/>
  <c r="Q13" i="3"/>
  <c r="Q14" i="3" s="1"/>
  <c r="P88" i="7" l="1"/>
  <c r="Q88" i="7" s="1"/>
  <c r="P36" i="7"/>
  <c r="Q36" i="7" s="1"/>
  <c r="P59" i="7"/>
  <c r="Q59" i="7" s="1"/>
  <c r="P107" i="7"/>
  <c r="Q107" i="7" s="1"/>
  <c r="P69" i="7"/>
  <c r="Q69" i="7" s="1"/>
  <c r="P56" i="7"/>
  <c r="Q56" i="7" s="1"/>
  <c r="P43" i="7"/>
  <c r="Q43" i="7" s="1"/>
  <c r="P34" i="7"/>
  <c r="Q34" i="7" s="1"/>
  <c r="P72" i="7"/>
  <c r="Q72" i="7" s="1"/>
  <c r="P37" i="7"/>
  <c r="Q37" i="7" s="1"/>
  <c r="P45" i="7"/>
  <c r="Q45" i="7" s="1"/>
  <c r="P78" i="7"/>
  <c r="Q78" i="7" s="1"/>
  <c r="P82" i="7"/>
  <c r="Q82" i="7" s="1"/>
  <c r="P30" i="7"/>
  <c r="Q30" i="7" s="1"/>
  <c r="P77" i="7"/>
  <c r="Q77" i="7" s="1"/>
  <c r="P81" i="7"/>
  <c r="Q81" i="7" s="1"/>
  <c r="P55" i="7"/>
  <c r="Q55" i="7" s="1"/>
  <c r="G26" i="7"/>
  <c r="K22" i="2"/>
  <c r="K24" i="7" s="1"/>
  <c r="G19" i="4"/>
  <c r="E23" i="4"/>
  <c r="G75" i="4"/>
  <c r="D100" i="4"/>
  <c r="H40" i="4"/>
  <c r="D71" i="4"/>
  <c r="E78" i="3" s="1"/>
  <c r="K87" i="2"/>
  <c r="K89" i="7" s="1"/>
  <c r="K24" i="2"/>
  <c r="K26" i="7" s="1"/>
  <c r="K70" i="2"/>
  <c r="K72" i="7" s="1"/>
  <c r="G68" i="4"/>
  <c r="H75" i="3" s="1"/>
  <c r="L107" i="7"/>
  <c r="E73" i="3"/>
  <c r="J111" i="3"/>
  <c r="G49" i="4"/>
  <c r="G93" i="4"/>
  <c r="G88" i="7"/>
  <c r="G34" i="7"/>
  <c r="K53" i="2"/>
  <c r="K55" i="7" s="1"/>
  <c r="D49" i="4"/>
  <c r="D104" i="4"/>
  <c r="F104" i="4"/>
  <c r="G94" i="4"/>
  <c r="H101" i="3" s="1"/>
  <c r="E39" i="4"/>
  <c r="F46" i="3" s="1"/>
  <c r="G78" i="4"/>
  <c r="D40" i="4"/>
  <c r="E47" i="3" s="1"/>
  <c r="G55" i="7"/>
  <c r="J30" i="3"/>
  <c r="K36" i="2"/>
  <c r="K38" i="7" s="1"/>
  <c r="K52" i="2"/>
  <c r="K54" i="7" s="1"/>
  <c r="F63" i="7"/>
  <c r="D15" i="4"/>
  <c r="G30" i="4"/>
  <c r="H37" i="3" s="1"/>
  <c r="K28" i="2"/>
  <c r="K30" i="7" s="1"/>
  <c r="G33" i="7"/>
  <c r="G36" i="7"/>
  <c r="D27" i="4"/>
  <c r="E34" i="3" s="1"/>
  <c r="H24" i="4"/>
  <c r="L72" i="7"/>
  <c r="D76" i="4"/>
  <c r="E83" i="3" s="1"/>
  <c r="H80" i="4"/>
  <c r="I87" i="3" s="1"/>
  <c r="H33" i="4"/>
  <c r="J46" i="3"/>
  <c r="G91" i="4"/>
  <c r="H98" i="3" s="1"/>
  <c r="G107" i="7"/>
  <c r="G56" i="4"/>
  <c r="J13" i="3"/>
  <c r="M12" i="2"/>
  <c r="M14" i="7" s="1"/>
  <c r="G46" i="4"/>
  <c r="K34" i="2"/>
  <c r="K36" i="7" s="1"/>
  <c r="H97" i="4"/>
  <c r="G17" i="4"/>
  <c r="G69" i="7"/>
  <c r="G90" i="7"/>
  <c r="L82" i="7"/>
  <c r="M16" i="2"/>
  <c r="M18" i="7" s="1"/>
  <c r="O18" i="7" s="1"/>
  <c r="P18" i="7" s="1"/>
  <c r="D70" i="4"/>
  <c r="E77" i="3" s="1"/>
  <c r="K97" i="2"/>
  <c r="K99" i="7" s="1"/>
  <c r="F103" i="7"/>
  <c r="G98" i="4"/>
  <c r="D91" i="4"/>
  <c r="E98" i="3" s="1"/>
  <c r="G34" i="4"/>
  <c r="H41" i="3" s="1"/>
  <c r="G72" i="7"/>
  <c r="G78" i="7"/>
  <c r="K75" i="2"/>
  <c r="K77" i="7" s="1"/>
  <c r="G43" i="4"/>
  <c r="G59" i="7"/>
  <c r="K65" i="2"/>
  <c r="K67" i="7" s="1"/>
  <c r="K20" i="2"/>
  <c r="K22" i="7" s="1"/>
  <c r="K40" i="2"/>
  <c r="K42" i="7" s="1"/>
  <c r="L34" i="7"/>
  <c r="G27" i="4"/>
  <c r="D81" i="4"/>
  <c r="E88" i="3" s="1"/>
  <c r="D36" i="4"/>
  <c r="E43" i="3" s="1"/>
  <c r="G37" i="4"/>
  <c r="L84" i="2"/>
  <c r="G86" i="7"/>
  <c r="K84" i="2"/>
  <c r="K86" i="7" s="1"/>
  <c r="F86" i="7"/>
  <c r="G67" i="4"/>
  <c r="H74" i="3" s="1"/>
  <c r="G98" i="7"/>
  <c r="L96" i="2"/>
  <c r="E63" i="3"/>
  <c r="H38" i="4"/>
  <c r="L78" i="7"/>
  <c r="M19" i="2"/>
  <c r="M21" i="7" s="1"/>
  <c r="M31" i="2"/>
  <c r="M33" i="7" s="1"/>
  <c r="L33" i="7"/>
  <c r="G14" i="4"/>
  <c r="H21" i="3" s="1"/>
  <c r="M8" i="2"/>
  <c r="M10" i="7" s="1"/>
  <c r="L69" i="7"/>
  <c r="L48" i="2"/>
  <c r="G50" i="7"/>
  <c r="M98" i="2"/>
  <c r="M100" i="7" s="1"/>
  <c r="K63" i="2"/>
  <c r="K65" i="7" s="1"/>
  <c r="F65" i="7"/>
  <c r="L59" i="2"/>
  <c r="L61" i="7" s="1"/>
  <c r="G61" i="7"/>
  <c r="L73" i="2"/>
  <c r="G75" i="7"/>
  <c r="F51" i="7"/>
  <c r="K49" i="2"/>
  <c r="K51" i="7" s="1"/>
  <c r="L71" i="2"/>
  <c r="J70" i="4" s="1"/>
  <c r="G73" i="7"/>
  <c r="F31" i="7"/>
  <c r="K29" i="2"/>
  <c r="K31" i="7" s="1"/>
  <c r="G32" i="4"/>
  <c r="H39" i="3" s="1"/>
  <c r="H35" i="7"/>
  <c r="F46" i="7"/>
  <c r="K44" i="2"/>
  <c r="K46" i="7" s="1"/>
  <c r="L83" i="2"/>
  <c r="G85" i="7"/>
  <c r="G88" i="4"/>
  <c r="H91" i="7"/>
  <c r="G44" i="4"/>
  <c r="H47" i="7"/>
  <c r="L51" i="2"/>
  <c r="G53" i="7"/>
  <c r="F20" i="7"/>
  <c r="K18" i="2"/>
  <c r="K20" i="7" s="1"/>
  <c r="K86" i="2"/>
  <c r="K88" i="7" s="1"/>
  <c r="F88" i="7"/>
  <c r="M17" i="2"/>
  <c r="M19" i="7" s="1"/>
  <c r="L19" i="7"/>
  <c r="F8" i="7"/>
  <c r="K6" i="2"/>
  <c r="K8" i="7" s="1"/>
  <c r="L10" i="2"/>
  <c r="G12" i="7"/>
  <c r="L11" i="2"/>
  <c r="J10" i="4" s="1"/>
  <c r="G13" i="7"/>
  <c r="K13" i="2"/>
  <c r="K15" i="7" s="1"/>
  <c r="F15" i="7"/>
  <c r="G23" i="4"/>
  <c r="H26" i="7"/>
  <c r="D98" i="4"/>
  <c r="E105" i="3" s="1"/>
  <c r="E101" i="7"/>
  <c r="E59" i="3"/>
  <c r="L78" i="2"/>
  <c r="G80" i="7"/>
  <c r="G29" i="4"/>
  <c r="H36" i="3" s="1"/>
  <c r="H32" i="7"/>
  <c r="G7" i="4"/>
  <c r="H10" i="7"/>
  <c r="L85" i="2"/>
  <c r="G87" i="7"/>
  <c r="L89" i="2"/>
  <c r="L91" i="7" s="1"/>
  <c r="G91" i="7"/>
  <c r="G100" i="4"/>
  <c r="H103" i="7"/>
  <c r="F13" i="7"/>
  <c r="K11" i="2"/>
  <c r="K13" i="7" s="1"/>
  <c r="F53" i="7"/>
  <c r="K51" i="2"/>
  <c r="K53" i="7" s="1"/>
  <c r="L102" i="2"/>
  <c r="G104" i="7"/>
  <c r="L95" i="2"/>
  <c r="G97" i="7"/>
  <c r="G57" i="4"/>
  <c r="H60" i="7"/>
  <c r="L33" i="2"/>
  <c r="G35" i="7"/>
  <c r="G58" i="4"/>
  <c r="H61" i="7"/>
  <c r="M40" i="2"/>
  <c r="M42" i="7" s="1"/>
  <c r="L42" i="7"/>
  <c r="D9" i="4"/>
  <c r="E16" i="3" s="1"/>
  <c r="G102" i="4"/>
  <c r="L61" i="2"/>
  <c r="G63" i="7"/>
  <c r="F60" i="7"/>
  <c r="K58" i="2"/>
  <c r="K60" i="7" s="1"/>
  <c r="G9" i="4"/>
  <c r="H12" i="7"/>
  <c r="G12" i="4"/>
  <c r="H19" i="3" s="1"/>
  <c r="H15" i="7"/>
  <c r="L37" i="2"/>
  <c r="G39" i="7"/>
  <c r="F35" i="7"/>
  <c r="K33" i="2"/>
  <c r="K35" i="7" s="1"/>
  <c r="G20" i="4"/>
  <c r="H23" i="7"/>
  <c r="F87" i="7"/>
  <c r="K85" i="2"/>
  <c r="K87" i="7" s="1"/>
  <c r="F91" i="7"/>
  <c r="K89" i="2"/>
  <c r="K91" i="7" s="1"/>
  <c r="L101" i="2"/>
  <c r="G103" i="7"/>
  <c r="G10" i="4"/>
  <c r="H13" i="7"/>
  <c r="K59" i="2"/>
  <c r="K61" i="7" s="1"/>
  <c r="F61" i="7"/>
  <c r="D50" i="4"/>
  <c r="E57" i="3" s="1"/>
  <c r="E53" i="7"/>
  <c r="L50" i="2"/>
  <c r="G52" i="7"/>
  <c r="K25" i="2"/>
  <c r="K27" i="7" s="1"/>
  <c r="F27" i="7"/>
  <c r="M20" i="2"/>
  <c r="M22" i="7" s="1"/>
  <c r="L22" i="7"/>
  <c r="F74" i="7"/>
  <c r="K72" i="2"/>
  <c r="K74" i="7" s="1"/>
  <c r="F9" i="7"/>
  <c r="K7" i="2"/>
  <c r="K9" i="7" s="1"/>
  <c r="K45" i="2"/>
  <c r="K47" i="7" s="1"/>
  <c r="F47" i="7"/>
  <c r="K41" i="2"/>
  <c r="K43" i="7" s="1"/>
  <c r="F43" i="7"/>
  <c r="L21" i="2"/>
  <c r="G23" i="7"/>
  <c r="M36" i="2"/>
  <c r="M38" i="7" s="1"/>
  <c r="L38" i="7"/>
  <c r="M7" i="2"/>
  <c r="M9" i="7" s="1"/>
  <c r="Q9" i="7" s="1"/>
  <c r="L9" i="7"/>
  <c r="M97" i="2"/>
  <c r="M99" i="7" s="1"/>
  <c r="L99" i="7"/>
  <c r="K105" i="2"/>
  <c r="K107" i="7" s="1"/>
  <c r="F107" i="7"/>
  <c r="K94" i="2"/>
  <c r="K96" i="7" s="1"/>
  <c r="F96" i="7"/>
  <c r="D64" i="4"/>
  <c r="E71" i="3" s="1"/>
  <c r="E67" i="7"/>
  <c r="D12" i="4"/>
  <c r="E19" i="3" s="1"/>
  <c r="E15" i="7"/>
  <c r="F75" i="7"/>
  <c r="K73" i="2"/>
  <c r="K75" i="7" s="1"/>
  <c r="F92" i="7"/>
  <c r="K90" i="2"/>
  <c r="K92" i="7" s="1"/>
  <c r="M55" i="2"/>
  <c r="M57" i="7" s="1"/>
  <c r="G57" i="7"/>
  <c r="F37" i="7"/>
  <c r="K35" i="2"/>
  <c r="K37" i="7" s="1"/>
  <c r="K60" i="2"/>
  <c r="K62" i="7" s="1"/>
  <c r="F62" i="7"/>
  <c r="L60" i="2"/>
  <c r="G62" i="7"/>
  <c r="M46" i="2"/>
  <c r="M48" i="7" s="1"/>
  <c r="L48" i="7"/>
  <c r="G102" i="7"/>
  <c r="L100" i="2"/>
  <c r="L52" i="2"/>
  <c r="G54" i="7"/>
  <c r="H20" i="4"/>
  <c r="I23" i="7"/>
  <c r="F25" i="7"/>
  <c r="K23" i="2"/>
  <c r="K25" i="7" s="1"/>
  <c r="L25" i="2"/>
  <c r="G27" i="7"/>
  <c r="F94" i="7"/>
  <c r="K92" i="2"/>
  <c r="K94" i="7" s="1"/>
  <c r="G81" i="4"/>
  <c r="H88" i="3" s="1"/>
  <c r="H84" i="7"/>
  <c r="D29" i="4"/>
  <c r="E36" i="3" s="1"/>
  <c r="E32" i="7"/>
  <c r="K37" i="2"/>
  <c r="K39" i="7" s="1"/>
  <c r="F39" i="7"/>
  <c r="L47" i="2"/>
  <c r="G49" i="7"/>
  <c r="G73" i="4"/>
  <c r="H76" i="7"/>
  <c r="L23" i="2"/>
  <c r="L25" i="7" s="1"/>
  <c r="G25" i="7"/>
  <c r="L14" i="2"/>
  <c r="M14" i="2" s="1"/>
  <c r="M16" i="7" s="1"/>
  <c r="G16" i="7"/>
  <c r="K17" i="2"/>
  <c r="K19" i="7" s="1"/>
  <c r="F19" i="7"/>
  <c r="G48" i="4"/>
  <c r="H55" i="3" s="1"/>
  <c r="H51" i="7"/>
  <c r="G65" i="4"/>
  <c r="H72" i="3" s="1"/>
  <c r="H68" i="7"/>
  <c r="K62" i="2"/>
  <c r="K64" i="7" s="1"/>
  <c r="F64" i="7"/>
  <c r="L68" i="2"/>
  <c r="G70" i="7"/>
  <c r="L15" i="2"/>
  <c r="G17" i="7"/>
  <c r="L9" i="2"/>
  <c r="J8" i="4" s="1"/>
  <c r="G11" i="7"/>
  <c r="M58" i="2"/>
  <c r="M60" i="7" s="1"/>
  <c r="L60" i="7"/>
  <c r="F93" i="7"/>
  <c r="K91" i="2"/>
  <c r="K93" i="7" s="1"/>
  <c r="F12" i="7"/>
  <c r="K10" i="2"/>
  <c r="K12" i="7" s="1"/>
  <c r="L30" i="2"/>
  <c r="J36" i="3" s="1"/>
  <c r="G32" i="7"/>
  <c r="F44" i="7"/>
  <c r="K42" i="2"/>
  <c r="K44" i="7" s="1"/>
  <c r="L104" i="2"/>
  <c r="G106" i="7"/>
  <c r="G22" i="4"/>
  <c r="H25" i="7"/>
  <c r="L90" i="2"/>
  <c r="G92" i="7"/>
  <c r="L64" i="2"/>
  <c r="G66" i="7"/>
  <c r="M22" i="2"/>
  <c r="M24" i="7" s="1"/>
  <c r="L24" i="7"/>
  <c r="D41" i="4"/>
  <c r="E48" i="3" s="1"/>
  <c r="E8" i="7"/>
  <c r="G39" i="4"/>
  <c r="H46" i="3" s="1"/>
  <c r="H42" i="7"/>
  <c r="F41" i="7"/>
  <c r="K39" i="2"/>
  <c r="K41" i="7" s="1"/>
  <c r="K47" i="2"/>
  <c r="K49" i="7" s="1"/>
  <c r="F49" i="7"/>
  <c r="F76" i="7"/>
  <c r="K74" i="2"/>
  <c r="K76" i="7" s="1"/>
  <c r="G103" i="4"/>
  <c r="H110" i="3" s="1"/>
  <c r="H106" i="7"/>
  <c r="G25" i="4"/>
  <c r="H28" i="7"/>
  <c r="F16" i="7"/>
  <c r="K14" i="2"/>
  <c r="K16" i="7" s="1"/>
  <c r="D16" i="4"/>
  <c r="E23" i="3" s="1"/>
  <c r="E19" i="7"/>
  <c r="L49" i="2"/>
  <c r="G51" i="7"/>
  <c r="L66" i="2"/>
  <c r="G68" i="7"/>
  <c r="F45" i="7"/>
  <c r="K43" i="2"/>
  <c r="K45" i="7" s="1"/>
  <c r="L81" i="2"/>
  <c r="G83" i="7"/>
  <c r="K15" i="2"/>
  <c r="K17" i="7" s="1"/>
  <c r="F17" i="7"/>
  <c r="M65" i="2"/>
  <c r="M67" i="7" s="1"/>
  <c r="L67" i="7"/>
  <c r="L94" i="2"/>
  <c r="G96" i="7"/>
  <c r="F11" i="7"/>
  <c r="K9" i="2"/>
  <c r="K11" i="7" s="1"/>
  <c r="L91" i="2"/>
  <c r="G93" i="7"/>
  <c r="M63" i="2"/>
  <c r="M65" i="7" s="1"/>
  <c r="L65" i="7"/>
  <c r="F100" i="7"/>
  <c r="K98" i="2"/>
  <c r="K100" i="7" s="1"/>
  <c r="M99" i="2"/>
  <c r="M101" i="7" s="1"/>
  <c r="L101" i="7"/>
  <c r="L13" i="2"/>
  <c r="J12" i="4" s="1"/>
  <c r="G15" i="7"/>
  <c r="G89" i="4"/>
  <c r="H92" i="7"/>
  <c r="L26" i="2"/>
  <c r="L28" i="7" s="1"/>
  <c r="G28" i="7"/>
  <c r="G11" i="4"/>
  <c r="H18" i="3" s="1"/>
  <c r="H14" i="7"/>
  <c r="M72" i="2"/>
  <c r="M74" i="7" s="1"/>
  <c r="L74" i="7"/>
  <c r="L87" i="2"/>
  <c r="G89" i="7"/>
  <c r="F58" i="7"/>
  <c r="K56" i="2"/>
  <c r="K58" i="7" s="1"/>
  <c r="L92" i="2"/>
  <c r="G94" i="7"/>
  <c r="K30" i="2"/>
  <c r="K32" i="7" s="1"/>
  <c r="F32" i="7"/>
  <c r="K26" i="2"/>
  <c r="K28" i="7" s="1"/>
  <c r="F28" i="7"/>
  <c r="K31" i="2"/>
  <c r="K33" i="7" s="1"/>
  <c r="F33" i="7"/>
  <c r="G76" i="4"/>
  <c r="H79" i="7"/>
  <c r="L93" i="2"/>
  <c r="G95" i="7"/>
  <c r="K12" i="2"/>
  <c r="K14" i="7" s="1"/>
  <c r="F14" i="7"/>
  <c r="L69" i="2"/>
  <c r="G71" i="7"/>
  <c r="G62" i="4"/>
  <c r="H69" i="3" s="1"/>
  <c r="H65" i="7"/>
  <c r="J95" i="3"/>
  <c r="D30" i="4"/>
  <c r="E33" i="7"/>
  <c r="F79" i="7"/>
  <c r="K77" i="2"/>
  <c r="K79" i="7" s="1"/>
  <c r="D48" i="4"/>
  <c r="E55" i="3" s="1"/>
  <c r="E51" i="7"/>
  <c r="L82" i="2"/>
  <c r="G84" i="7"/>
  <c r="K100" i="2"/>
  <c r="K102" i="7" s="1"/>
  <c r="F102" i="7"/>
  <c r="D60" i="4"/>
  <c r="E63" i="7"/>
  <c r="G13" i="4"/>
  <c r="H16" i="7"/>
  <c r="L56" i="2"/>
  <c r="G58" i="7"/>
  <c r="H70" i="4"/>
  <c r="I73" i="7"/>
  <c r="F29" i="7"/>
  <c r="K27" i="2"/>
  <c r="K29" i="7" s="1"/>
  <c r="G38" i="4"/>
  <c r="H41" i="7"/>
  <c r="L45" i="2"/>
  <c r="G47" i="7"/>
  <c r="L77" i="2"/>
  <c r="G79" i="7"/>
  <c r="F10" i="7"/>
  <c r="K8" i="2"/>
  <c r="K10" i="7" s="1"/>
  <c r="F104" i="7"/>
  <c r="K102" i="2"/>
  <c r="K104" i="7" s="1"/>
  <c r="K103" i="2"/>
  <c r="K105" i="7" s="1"/>
  <c r="F105" i="7"/>
  <c r="K21" i="2"/>
  <c r="K23" i="7" s="1"/>
  <c r="F23" i="7"/>
  <c r="M88" i="2"/>
  <c r="M90" i="7" s="1"/>
  <c r="L90" i="7"/>
  <c r="D80" i="4"/>
  <c r="E87" i="3" s="1"/>
  <c r="E83" i="7"/>
  <c r="J94" i="3"/>
  <c r="D96" i="4"/>
  <c r="E103" i="3" s="1"/>
  <c r="E99" i="7"/>
  <c r="F21" i="7"/>
  <c r="K19" i="2"/>
  <c r="K21" i="7" s="1"/>
  <c r="L38" i="2"/>
  <c r="G40" i="7"/>
  <c r="L62" i="2"/>
  <c r="G64" i="7"/>
  <c r="M24" i="2"/>
  <c r="M26" i="7" s="1"/>
  <c r="L26" i="7"/>
  <c r="K76" i="2"/>
  <c r="K78" i="7" s="1"/>
  <c r="F78" i="7"/>
  <c r="L42" i="2"/>
  <c r="J48" i="3" s="1"/>
  <c r="G44" i="7"/>
  <c r="G74" i="4"/>
  <c r="H81" i="3" s="1"/>
  <c r="H77" i="7"/>
  <c r="K46" i="2"/>
  <c r="K48" i="7" s="1"/>
  <c r="F48" i="7"/>
  <c r="G70" i="4"/>
  <c r="H73" i="7"/>
  <c r="L103" i="2"/>
  <c r="G105" i="7"/>
  <c r="J78" i="3"/>
  <c r="G55" i="4"/>
  <c r="H62" i="3" s="1"/>
  <c r="H58" i="7"/>
  <c r="L39" i="2"/>
  <c r="G41" i="7"/>
  <c r="E6" i="4"/>
  <c r="D77" i="4"/>
  <c r="E84" i="3" s="1"/>
  <c r="G71" i="4"/>
  <c r="H74" i="7"/>
  <c r="L27" i="2"/>
  <c r="J26" i="4" s="1"/>
  <c r="G29" i="7"/>
  <c r="F85" i="7"/>
  <c r="K83" i="2"/>
  <c r="K85" i="7" s="1"/>
  <c r="F101" i="4"/>
  <c r="G108" i="3" s="1"/>
  <c r="D24" i="4"/>
  <c r="E31" i="3" s="1"/>
  <c r="E102" i="4"/>
  <c r="G8" i="4"/>
  <c r="L29" i="2"/>
  <c r="G31" i="7"/>
  <c r="H81" i="4"/>
  <c r="I84" i="7"/>
  <c r="F106" i="7"/>
  <c r="K104" i="2"/>
  <c r="K106" i="7" s="1"/>
  <c r="G77" i="4"/>
  <c r="H80" i="7"/>
  <c r="H29" i="4"/>
  <c r="I32" i="7"/>
  <c r="L44" i="2"/>
  <c r="G46" i="7"/>
  <c r="L74" i="2"/>
  <c r="J80" i="3" s="1"/>
  <c r="G76" i="7"/>
  <c r="K78" i="2"/>
  <c r="K80" i="7" s="1"/>
  <c r="F80" i="7"/>
  <c r="G82" i="4"/>
  <c r="H85" i="7"/>
  <c r="G50" i="4"/>
  <c r="H53" i="7"/>
  <c r="L18" i="2"/>
  <c r="G20" i="7"/>
  <c r="F40" i="7"/>
  <c r="K38" i="2"/>
  <c r="K40" i="7" s="1"/>
  <c r="F83" i="7"/>
  <c r="K81" i="2"/>
  <c r="K83" i="7" s="1"/>
  <c r="E89" i="4"/>
  <c r="F100" i="4"/>
  <c r="J62" i="3"/>
  <c r="F89" i="4"/>
  <c r="E88" i="4"/>
  <c r="E55" i="4"/>
  <c r="F28" i="4"/>
  <c r="G35" i="3" s="1"/>
  <c r="J35" i="3"/>
  <c r="E80" i="3"/>
  <c r="E57" i="4"/>
  <c r="J79" i="3"/>
  <c r="F88" i="4"/>
  <c r="G95" i="3" s="1"/>
  <c r="E91" i="4"/>
  <c r="F24" i="4"/>
  <c r="E72" i="4"/>
  <c r="E22" i="4"/>
  <c r="E58" i="4"/>
  <c r="E32" i="4"/>
  <c r="J38" i="4"/>
  <c r="M89" i="2"/>
  <c r="M91" i="7" s="1"/>
  <c r="J88" i="4"/>
  <c r="E38" i="4"/>
  <c r="F45" i="3" s="1"/>
  <c r="F38" i="4"/>
  <c r="G45" i="3" s="1"/>
  <c r="H42" i="3"/>
  <c r="I52" i="3"/>
  <c r="G49" i="3"/>
  <c r="H5" i="4"/>
  <c r="I12" i="3" s="1"/>
  <c r="H57" i="4"/>
  <c r="H58" i="4"/>
  <c r="H102" i="4"/>
  <c r="H103" i="4"/>
  <c r="H104" i="4"/>
  <c r="H48" i="4"/>
  <c r="H56" i="4"/>
  <c r="H101" i="4"/>
  <c r="H65" i="4"/>
  <c r="H47" i="4"/>
  <c r="H23" i="4"/>
  <c r="H94" i="4"/>
  <c r="H84" i="4"/>
  <c r="H75" i="4"/>
  <c r="H82" i="4"/>
  <c r="H95" i="4"/>
  <c r="H69" i="4"/>
  <c r="H10" i="4"/>
  <c r="H98" i="4"/>
  <c r="I105" i="3" s="1"/>
  <c r="H63" i="4"/>
  <c r="I70" i="3" s="1"/>
  <c r="H59" i="4"/>
  <c r="I66" i="3" s="1"/>
  <c r="H28" i="4"/>
  <c r="H6" i="4"/>
  <c r="H19" i="4"/>
  <c r="H46" i="4"/>
  <c r="H91" i="4"/>
  <c r="H73" i="4"/>
  <c r="H17" i="4"/>
  <c r="H22" i="4"/>
  <c r="H62" i="4"/>
  <c r="H74" i="4"/>
  <c r="H78" i="4"/>
  <c r="H92" i="4"/>
  <c r="I99" i="3" s="1"/>
  <c r="H55" i="4"/>
  <c r="I62" i="3" s="1"/>
  <c r="H61" i="4"/>
  <c r="I68" i="3" s="1"/>
  <c r="H39" i="4"/>
  <c r="H99" i="4"/>
  <c r="I106" i="3" s="1"/>
  <c r="H31" i="4"/>
  <c r="H49" i="4"/>
  <c r="H44" i="4"/>
  <c r="H26" i="4"/>
  <c r="H53" i="4"/>
  <c r="H72" i="4"/>
  <c r="H90" i="4"/>
  <c r="H51" i="4"/>
  <c r="H93" i="4"/>
  <c r="H7" i="4"/>
  <c r="H30" i="4"/>
  <c r="H14" i="4"/>
  <c r="H50" i="4"/>
  <c r="I57" i="3" s="1"/>
  <c r="H9" i="4"/>
  <c r="H87" i="4"/>
  <c r="H18" i="4"/>
  <c r="H83" i="4"/>
  <c r="G63" i="3"/>
  <c r="G78" i="3"/>
  <c r="H42" i="4"/>
  <c r="H43" i="4"/>
  <c r="H59" i="3"/>
  <c r="G14" i="3"/>
  <c r="H16" i="4"/>
  <c r="H36" i="4"/>
  <c r="E61" i="3"/>
  <c r="E52" i="3"/>
  <c r="E96" i="3"/>
  <c r="E76" i="3"/>
  <c r="E25" i="3"/>
  <c r="E95" i="3"/>
  <c r="E81" i="3"/>
  <c r="E64" i="3"/>
  <c r="E67" i="3"/>
  <c r="E109" i="3"/>
  <c r="E28" i="3"/>
  <c r="E60" i="3"/>
  <c r="H41" i="4"/>
  <c r="H97" i="3"/>
  <c r="H76" i="4"/>
  <c r="I83" i="3" s="1"/>
  <c r="H67" i="4"/>
  <c r="I74" i="3" s="1"/>
  <c r="H64" i="4"/>
  <c r="E91" i="3"/>
  <c r="G44" i="3"/>
  <c r="H21" i="4"/>
  <c r="H28" i="3"/>
  <c r="H66" i="4"/>
  <c r="H68" i="4"/>
  <c r="H100" i="4"/>
  <c r="I107" i="3" s="1"/>
  <c r="G62" i="3"/>
  <c r="F22" i="3"/>
  <c r="H32" i="4"/>
  <c r="H71" i="4"/>
  <c r="H56" i="3"/>
  <c r="H107" i="3"/>
  <c r="E111" i="3"/>
  <c r="H85" i="4"/>
  <c r="H25" i="4"/>
  <c r="H77" i="4"/>
  <c r="E24" i="3"/>
  <c r="E54" i="3"/>
  <c r="E56" i="3"/>
  <c r="E107" i="3"/>
  <c r="H37" i="4"/>
  <c r="H8" i="4"/>
  <c r="E41" i="3"/>
  <c r="G92" i="3"/>
  <c r="H12" i="4"/>
  <c r="H79" i="4"/>
  <c r="I86" i="3" s="1"/>
  <c r="H52" i="4"/>
  <c r="I59" i="3" s="1"/>
  <c r="G93" i="3"/>
  <c r="H88" i="4"/>
  <c r="H86" i="4"/>
  <c r="E22" i="3"/>
  <c r="E40" i="3"/>
  <c r="H35" i="4"/>
  <c r="I42" i="3" s="1"/>
  <c r="H15" i="4"/>
  <c r="H13" i="4"/>
  <c r="H96" i="4"/>
  <c r="H40" i="3"/>
  <c r="H90" i="3"/>
  <c r="E15" i="3"/>
  <c r="E92" i="3"/>
  <c r="H54" i="4"/>
  <c r="H27" i="4"/>
  <c r="E58" i="3"/>
  <c r="H33" i="3"/>
  <c r="H49" i="3"/>
  <c r="E37" i="3"/>
  <c r="E82" i="3"/>
  <c r="F5" i="4"/>
  <c r="G12" i="3" s="1"/>
  <c r="F11" i="4"/>
  <c r="F53" i="4"/>
  <c r="F12" i="4"/>
  <c r="F40" i="4"/>
  <c r="F54" i="4"/>
  <c r="F58" i="4"/>
  <c r="F72" i="4"/>
  <c r="F73" i="4"/>
  <c r="F39" i="4"/>
  <c r="G46" i="3" s="1"/>
  <c r="F29" i="4"/>
  <c r="F9" i="4"/>
  <c r="F22" i="4"/>
  <c r="G29" i="3" s="1"/>
  <c r="F68" i="4"/>
  <c r="G75" i="3" s="1"/>
  <c r="F70" i="4"/>
  <c r="D11" i="4"/>
  <c r="E18" i="3" s="1"/>
  <c r="D72" i="4"/>
  <c r="E79" i="3" s="1"/>
  <c r="H102" i="3"/>
  <c r="F10" i="4"/>
  <c r="G17" i="3" s="1"/>
  <c r="F41" i="4"/>
  <c r="G48" i="3" s="1"/>
  <c r="F87" i="4"/>
  <c r="E102" i="3"/>
  <c r="H87" i="3"/>
  <c r="E90" i="3"/>
  <c r="H24" i="3"/>
  <c r="G28" i="3"/>
  <c r="E14" i="3"/>
  <c r="E106" i="3"/>
  <c r="D5" i="4"/>
  <c r="E12" i="3" s="1"/>
  <c r="D25" i="4"/>
  <c r="E32" i="3" s="1"/>
  <c r="D26" i="4"/>
  <c r="E33" i="3" s="1"/>
  <c r="D37" i="4"/>
  <c r="E44" i="3" s="1"/>
  <c r="D39" i="4"/>
  <c r="E46" i="3" s="1"/>
  <c r="D61" i="4"/>
  <c r="E68" i="3" s="1"/>
  <c r="D65" i="4"/>
  <c r="E72" i="3" s="1"/>
  <c r="D38" i="4"/>
  <c r="E45" i="3" s="1"/>
  <c r="D62" i="4"/>
  <c r="E69" i="3" s="1"/>
  <c r="D63" i="4"/>
  <c r="E70" i="3" s="1"/>
  <c r="D6" i="4"/>
  <c r="E13" i="3" s="1"/>
  <c r="D59" i="4"/>
  <c r="E66" i="3" s="1"/>
  <c r="D10" i="4"/>
  <c r="E17" i="3" s="1"/>
  <c r="D35" i="4"/>
  <c r="E42" i="3" s="1"/>
  <c r="D46" i="4"/>
  <c r="E53" i="3" s="1"/>
  <c r="D78" i="4"/>
  <c r="E85" i="3" s="1"/>
  <c r="D19" i="4"/>
  <c r="E26" i="3" s="1"/>
  <c r="D55" i="4"/>
  <c r="E62" i="3" s="1"/>
  <c r="D44" i="4"/>
  <c r="E51" i="3" s="1"/>
  <c r="D90" i="4"/>
  <c r="E97" i="3" s="1"/>
  <c r="D79" i="4"/>
  <c r="E86" i="3" s="1"/>
  <c r="D32" i="4"/>
  <c r="E39" i="3" s="1"/>
  <c r="D28" i="4"/>
  <c r="E35" i="3" s="1"/>
  <c r="D86" i="4"/>
  <c r="E93" i="3" s="1"/>
  <c r="D22" i="4"/>
  <c r="E29" i="3" s="1"/>
  <c r="D68" i="4"/>
  <c r="E75" i="3" s="1"/>
  <c r="D94" i="4"/>
  <c r="E101" i="3" s="1"/>
  <c r="D92" i="4"/>
  <c r="E99" i="3" s="1"/>
  <c r="D43" i="4"/>
  <c r="E50" i="3" s="1"/>
  <c r="D58" i="4"/>
  <c r="E65" i="3" s="1"/>
  <c r="D13" i="4"/>
  <c r="E20" i="3" s="1"/>
  <c r="D42" i="4"/>
  <c r="E49" i="3" s="1"/>
  <c r="D97" i="4"/>
  <c r="E104" i="3" s="1"/>
  <c r="H65" i="3"/>
  <c r="D14" i="4"/>
  <c r="E21" i="3" s="1"/>
  <c r="F26" i="4"/>
  <c r="G33" i="3" s="1"/>
  <c r="F6" i="4"/>
  <c r="G13" i="3" s="1"/>
  <c r="D23" i="4"/>
  <c r="E30" i="3" s="1"/>
  <c r="D93" i="4"/>
  <c r="E100" i="3" s="1"/>
  <c r="D82" i="4"/>
  <c r="E89" i="3" s="1"/>
  <c r="F78" i="4"/>
  <c r="D31" i="4"/>
  <c r="E38" i="3" s="1"/>
  <c r="H22" i="3"/>
  <c r="H38" i="3"/>
  <c r="D20" i="4"/>
  <c r="E27" i="3" s="1"/>
  <c r="H104" i="3"/>
  <c r="F23" i="4"/>
  <c r="G30" i="3" s="1"/>
  <c r="D103" i="4"/>
  <c r="E110" i="3" s="1"/>
  <c r="D101" i="4"/>
  <c r="E108" i="3" s="1"/>
  <c r="D87" i="4"/>
  <c r="E94" i="3" s="1"/>
  <c r="E5" i="4"/>
  <c r="F12" i="3" s="1"/>
  <c r="E26" i="4"/>
  <c r="E27" i="4"/>
  <c r="E67" i="4"/>
  <c r="E13" i="4"/>
  <c r="E25" i="4"/>
  <c r="E101" i="4"/>
  <c r="H89" i="3"/>
  <c r="E104" i="4"/>
  <c r="E103" i="4"/>
  <c r="E41" i="4"/>
  <c r="G5" i="4"/>
  <c r="H12" i="3" s="1"/>
  <c r="G40" i="4"/>
  <c r="G87" i="4"/>
  <c r="G60" i="4"/>
  <c r="G63" i="4"/>
  <c r="G41" i="4"/>
  <c r="G36" i="4"/>
  <c r="H43" i="3" s="1"/>
  <c r="G84" i="4"/>
  <c r="G92" i="4"/>
  <c r="E85" i="4"/>
  <c r="G59" i="4"/>
  <c r="E69" i="4"/>
  <c r="G72" i="4"/>
  <c r="G54" i="4"/>
  <c r="H61" i="3" s="1"/>
  <c r="H35" i="3"/>
  <c r="H68" i="3"/>
  <c r="H23" i="3"/>
  <c r="H71" i="3"/>
  <c r="H100" i="3"/>
  <c r="E40" i="4"/>
  <c r="F47" i="3" s="1"/>
  <c r="E9" i="4"/>
  <c r="G24" i="4"/>
  <c r="G101" i="4"/>
  <c r="G6" i="4"/>
  <c r="E62" i="4"/>
  <c r="E30" i="4"/>
  <c r="E35" i="4"/>
  <c r="F42" i="3" s="1"/>
  <c r="E49" i="4"/>
  <c r="F56" i="3" s="1"/>
  <c r="E20" i="4"/>
  <c r="F27" i="3" s="1"/>
  <c r="E17" i="4"/>
  <c r="F24" i="3" s="1"/>
  <c r="E61" i="4"/>
  <c r="F68" i="3" s="1"/>
  <c r="J92" i="3"/>
  <c r="J85" i="4"/>
  <c r="J90" i="4"/>
  <c r="E98" i="4"/>
  <c r="J100" i="4"/>
  <c r="E60" i="4"/>
  <c r="E21" i="4"/>
  <c r="J97" i="3"/>
  <c r="E75" i="4"/>
  <c r="E81" i="4"/>
  <c r="E51" i="4"/>
  <c r="F58" i="3" s="1"/>
  <c r="J73" i="4"/>
  <c r="E29" i="4"/>
  <c r="F36" i="3" s="1"/>
  <c r="F34" i="4"/>
  <c r="G41" i="3" s="1"/>
  <c r="E18" i="4"/>
  <c r="F25" i="3" s="1"/>
  <c r="E50" i="4"/>
  <c r="F57" i="3" s="1"/>
  <c r="E92" i="4"/>
  <c r="E19" i="4"/>
  <c r="E83" i="4"/>
  <c r="J72" i="4"/>
  <c r="J71" i="4"/>
  <c r="E16" i="4"/>
  <c r="E82" i="4"/>
  <c r="E59" i="4"/>
  <c r="F66" i="3" s="1"/>
  <c r="E11" i="4"/>
  <c r="F18" i="3" s="1"/>
  <c r="J60" i="3"/>
  <c r="J53" i="4"/>
  <c r="J56" i="4"/>
  <c r="E65" i="4"/>
  <c r="F72" i="3" s="1"/>
  <c r="E36" i="4"/>
  <c r="F43" i="3" s="1"/>
  <c r="E63" i="4"/>
  <c r="F70" i="3" s="1"/>
  <c r="E42" i="4"/>
  <c r="J63" i="3"/>
  <c r="E94" i="4"/>
  <c r="E66" i="4"/>
  <c r="J22" i="4"/>
  <c r="J32" i="3"/>
  <c r="J89" i="4"/>
  <c r="E97" i="4"/>
  <c r="F104" i="3" s="1"/>
  <c r="E78" i="4"/>
  <c r="F85" i="3" s="1"/>
  <c r="E64" i="4"/>
  <c r="F71" i="3" s="1"/>
  <c r="E87" i="4"/>
  <c r="F94" i="3" s="1"/>
  <c r="E12" i="4"/>
  <c r="F19" i="3" s="1"/>
  <c r="E44" i="4"/>
  <c r="F51" i="3" s="1"/>
  <c r="E47" i="4"/>
  <c r="F54" i="3" s="1"/>
  <c r="F97" i="4"/>
  <c r="G104" i="3" s="1"/>
  <c r="E7" i="4"/>
  <c r="J75" i="3"/>
  <c r="J68" i="4"/>
  <c r="E28" i="4"/>
  <c r="F18" i="4"/>
  <c r="G25" i="3" s="1"/>
  <c r="E80" i="4"/>
  <c r="J55" i="4"/>
  <c r="E46" i="4"/>
  <c r="E76" i="4"/>
  <c r="E79" i="4"/>
  <c r="E84" i="4"/>
  <c r="J87" i="4"/>
  <c r="J24" i="4"/>
  <c r="E45" i="4"/>
  <c r="E77" i="4"/>
  <c r="F84" i="3" s="1"/>
  <c r="E68" i="4"/>
  <c r="F75" i="3" s="1"/>
  <c r="E99" i="4"/>
  <c r="F106" i="3" s="1"/>
  <c r="J21" i="4"/>
  <c r="J28" i="3"/>
  <c r="J74" i="4"/>
  <c r="E93" i="4"/>
  <c r="F100" i="3" s="1"/>
  <c r="E95" i="4"/>
  <c r="F102" i="3" s="1"/>
  <c r="E14" i="4"/>
  <c r="J42" i="4"/>
  <c r="J57" i="4"/>
  <c r="J51" i="4"/>
  <c r="J96" i="3"/>
  <c r="E43" i="4"/>
  <c r="E96" i="4"/>
  <c r="E48" i="4"/>
  <c r="F55" i="3" s="1"/>
  <c r="E100" i="4"/>
  <c r="F107" i="3" s="1"/>
  <c r="J104" i="4"/>
  <c r="J17" i="3"/>
  <c r="J44" i="3"/>
  <c r="J108" i="3"/>
  <c r="J101" i="4"/>
  <c r="J6" i="4"/>
  <c r="J64" i="3"/>
  <c r="J81" i="3"/>
  <c r="J107" i="3"/>
  <c r="J14" i="3"/>
  <c r="J7" i="4"/>
  <c r="F83" i="4"/>
  <c r="G90" i="3" s="1"/>
  <c r="F48" i="4"/>
  <c r="G55" i="3" s="1"/>
  <c r="F49" i="4"/>
  <c r="G56" i="3" s="1"/>
  <c r="F79" i="4"/>
  <c r="G86" i="3" s="1"/>
  <c r="F62" i="4"/>
  <c r="G69" i="3" s="1"/>
  <c r="F46" i="4"/>
  <c r="F32" i="4"/>
  <c r="F102" i="4"/>
  <c r="F59" i="4"/>
  <c r="G66" i="3" s="1"/>
  <c r="F44" i="4"/>
  <c r="G51" i="3" s="1"/>
  <c r="F43" i="4"/>
  <c r="G50" i="3" s="1"/>
  <c r="F63" i="4"/>
  <c r="G70" i="3" s="1"/>
  <c r="F20" i="4"/>
  <c r="G27" i="3" s="1"/>
  <c r="F50" i="4"/>
  <c r="G57" i="3" s="1"/>
  <c r="F75" i="4"/>
  <c r="G82" i="3" s="1"/>
  <c r="F19" i="4"/>
  <c r="G26" i="3" s="1"/>
  <c r="F15" i="4"/>
  <c r="G22" i="3" s="1"/>
  <c r="F80" i="4"/>
  <c r="G87" i="3" s="1"/>
  <c r="F14" i="4"/>
  <c r="G21" i="3" s="1"/>
  <c r="F96" i="4"/>
  <c r="G103" i="3" s="1"/>
  <c r="F81" i="4"/>
  <c r="G88" i="3" s="1"/>
  <c r="F13" i="4"/>
  <c r="F17" i="4"/>
  <c r="F33" i="4"/>
  <c r="F99" i="4"/>
  <c r="G106" i="3" s="1"/>
  <c r="F76" i="4"/>
  <c r="G83" i="3" s="1"/>
  <c r="F93" i="4"/>
  <c r="G100" i="3" s="1"/>
  <c r="F98" i="4"/>
  <c r="G105" i="3" s="1"/>
  <c r="F45" i="4"/>
  <c r="G52" i="3" s="1"/>
  <c r="F66" i="4"/>
  <c r="G73" i="3" s="1"/>
  <c r="F16" i="4"/>
  <c r="G23" i="3" s="1"/>
  <c r="F103" i="4"/>
  <c r="G110" i="3" s="1"/>
  <c r="F84" i="4"/>
  <c r="G91" i="3" s="1"/>
  <c r="F52" i="4"/>
  <c r="G59" i="3" s="1"/>
  <c r="F60" i="4"/>
  <c r="G67" i="3" s="1"/>
  <c r="F95" i="4"/>
  <c r="G102" i="3" s="1"/>
  <c r="F77" i="4"/>
  <c r="G84" i="3" s="1"/>
  <c r="F92" i="4"/>
  <c r="F31" i="4"/>
  <c r="F61" i="4"/>
  <c r="F67" i="4"/>
  <c r="G74" i="3" s="1"/>
  <c r="F94" i="4"/>
  <c r="G101" i="3" s="1"/>
  <c r="F82" i="4"/>
  <c r="G89" i="3" s="1"/>
  <c r="F64" i="4"/>
  <c r="G71" i="3" s="1"/>
  <c r="F65" i="4"/>
  <c r="G72" i="3" s="1"/>
  <c r="F47" i="4"/>
  <c r="G54" i="3" s="1"/>
  <c r="F35" i="4"/>
  <c r="G42" i="3" s="1"/>
  <c r="F36" i="4"/>
  <c r="G43" i="3" s="1"/>
  <c r="F69" i="4"/>
  <c r="G76" i="3" s="1"/>
  <c r="F91" i="4"/>
  <c r="G98" i="3" s="1"/>
  <c r="F30" i="4"/>
  <c r="G37" i="3" s="1"/>
  <c r="Q15" i="3"/>
  <c r="I41" i="3"/>
  <c r="P48" i="7" l="1"/>
  <c r="Q48" i="7" s="1"/>
  <c r="P24" i="7"/>
  <c r="Q24" i="7" s="1"/>
  <c r="Q18" i="7"/>
  <c r="P19" i="7"/>
  <c r="Q19" i="7" s="1"/>
  <c r="P90" i="7"/>
  <c r="Q90" i="7" s="1"/>
  <c r="P22" i="7"/>
  <c r="Q22" i="7" s="1"/>
  <c r="P74" i="7"/>
  <c r="Q74" i="7" s="1"/>
  <c r="P67" i="7"/>
  <c r="Q67" i="7" s="1"/>
  <c r="P99" i="7"/>
  <c r="Q99" i="7" s="1"/>
  <c r="P21" i="7"/>
  <c r="Q21" i="7" s="1"/>
  <c r="P60" i="7"/>
  <c r="Q60" i="7" s="1"/>
  <c r="P26" i="7"/>
  <c r="Q26" i="7" s="1"/>
  <c r="P57" i="7"/>
  <c r="Q57" i="7" s="1"/>
  <c r="P42" i="7"/>
  <c r="Q42" i="7" s="1"/>
  <c r="P33" i="7"/>
  <c r="Q33" i="7" s="1"/>
  <c r="P10" i="7"/>
  <c r="Q10" i="7" s="1"/>
  <c r="P16" i="7"/>
  <c r="Q16" i="7" s="1"/>
  <c r="P101" i="7"/>
  <c r="Q101" i="7" s="1"/>
  <c r="P38" i="7"/>
  <c r="Q38" i="7" s="1"/>
  <c r="P91" i="7"/>
  <c r="Q91" i="7" s="1"/>
  <c r="P14" i="7"/>
  <c r="Q14" i="7" s="1"/>
  <c r="P65" i="7"/>
  <c r="Q65" i="7" s="1"/>
  <c r="P100" i="7"/>
  <c r="Q100" i="7" s="1"/>
  <c r="J29" i="3"/>
  <c r="M23" i="2"/>
  <c r="M25" i="7" s="1"/>
  <c r="J29" i="4"/>
  <c r="J25" i="4"/>
  <c r="J41" i="4"/>
  <c r="M26" i="2"/>
  <c r="M28" i="7" s="1"/>
  <c r="M96" i="2"/>
  <c r="M98" i="7" s="1"/>
  <c r="L98" i="7"/>
  <c r="J65" i="3"/>
  <c r="J58" i="4"/>
  <c r="M59" i="2"/>
  <c r="M61" i="7" s="1"/>
  <c r="M48" i="2"/>
  <c r="M50" i="7" s="1"/>
  <c r="L50" i="7"/>
  <c r="L86" i="7"/>
  <c r="M84" i="2"/>
  <c r="M86" i="7" s="1"/>
  <c r="M44" i="2"/>
  <c r="M46" i="7" s="1"/>
  <c r="L46" i="7"/>
  <c r="M66" i="2"/>
  <c r="M68" i="7" s="1"/>
  <c r="L68" i="7"/>
  <c r="M100" i="2"/>
  <c r="M102" i="7" s="1"/>
  <c r="L102" i="7"/>
  <c r="M10" i="2"/>
  <c r="M12" i="7" s="1"/>
  <c r="L12" i="7"/>
  <c r="M83" i="2"/>
  <c r="M85" i="7" s="1"/>
  <c r="L85" i="7"/>
  <c r="M87" i="2"/>
  <c r="M89" i="7" s="1"/>
  <c r="L89" i="7"/>
  <c r="J16" i="3"/>
  <c r="M77" i="2"/>
  <c r="M79" i="7" s="1"/>
  <c r="L79" i="7"/>
  <c r="L25" i="5"/>
  <c r="M27" i="2"/>
  <c r="M29" i="7" s="1"/>
  <c r="L29" i="7"/>
  <c r="M93" i="2"/>
  <c r="M95" i="7" s="1"/>
  <c r="L95" i="7"/>
  <c r="M91" i="2"/>
  <c r="M93" i="7" s="1"/>
  <c r="L93" i="7"/>
  <c r="M49" i="2"/>
  <c r="M51" i="7" s="1"/>
  <c r="L51" i="7"/>
  <c r="M30" i="2"/>
  <c r="M32" i="7" s="1"/>
  <c r="L32" i="7"/>
  <c r="J33" i="3"/>
  <c r="M45" i="2"/>
  <c r="M47" i="7" s="1"/>
  <c r="L47" i="7"/>
  <c r="M82" i="2"/>
  <c r="M84" i="7" s="1"/>
  <c r="L84" i="7"/>
  <c r="M95" i="2"/>
  <c r="M97" i="7" s="1"/>
  <c r="L97" i="7"/>
  <c r="M60" i="2"/>
  <c r="M62" i="7" s="1"/>
  <c r="L62" i="7"/>
  <c r="M101" i="2"/>
  <c r="M103" i="7" s="1"/>
  <c r="L103" i="7"/>
  <c r="M102" i="2"/>
  <c r="M104" i="7" s="1"/>
  <c r="L104" i="7"/>
  <c r="M78" i="2"/>
  <c r="M80" i="7" s="1"/>
  <c r="L80" i="7"/>
  <c r="J86" i="4"/>
  <c r="M18" i="2"/>
  <c r="M20" i="7" s="1"/>
  <c r="L20" i="7"/>
  <c r="M42" i="2"/>
  <c r="M44" i="7" s="1"/>
  <c r="L44" i="7"/>
  <c r="M94" i="2"/>
  <c r="M96" i="7" s="1"/>
  <c r="L96" i="7"/>
  <c r="M61" i="2"/>
  <c r="M63" i="7" s="1"/>
  <c r="L63" i="7"/>
  <c r="M71" i="2"/>
  <c r="M73" i="7" s="1"/>
  <c r="L73" i="7"/>
  <c r="M25" i="2"/>
  <c r="M27" i="7" s="1"/>
  <c r="L27" i="7"/>
  <c r="J9" i="4"/>
  <c r="J31" i="3"/>
  <c r="M39" i="2"/>
  <c r="M41" i="7" s="1"/>
  <c r="L41" i="7"/>
  <c r="J45" i="3"/>
  <c r="J93" i="3"/>
  <c r="M64" i="2"/>
  <c r="M66" i="7" s="1"/>
  <c r="L66" i="7"/>
  <c r="M29" i="2"/>
  <c r="M31" i="7" s="1"/>
  <c r="L31" i="7"/>
  <c r="M13" i="2"/>
  <c r="M15" i="7" s="1"/>
  <c r="L15" i="7"/>
  <c r="J19" i="3"/>
  <c r="M90" i="2"/>
  <c r="M92" i="7" s="1"/>
  <c r="L92" i="7"/>
  <c r="M9" i="2"/>
  <c r="L11" i="7"/>
  <c r="J15" i="3"/>
  <c r="M51" i="2"/>
  <c r="M53" i="7" s="1"/>
  <c r="L53" i="7"/>
  <c r="L111" i="2"/>
  <c r="L16" i="7"/>
  <c r="M56" i="2"/>
  <c r="M58" i="7" s="1"/>
  <c r="L58" i="7"/>
  <c r="M62" i="2"/>
  <c r="M64" i="7" s="1"/>
  <c r="L64" i="7"/>
  <c r="M92" i="2"/>
  <c r="M94" i="7" s="1"/>
  <c r="L94" i="7"/>
  <c r="M81" i="2"/>
  <c r="M83" i="7" s="1"/>
  <c r="L83" i="7"/>
  <c r="M15" i="2"/>
  <c r="M17" i="7" s="1"/>
  <c r="L17" i="7"/>
  <c r="M73" i="2"/>
  <c r="M75" i="7" s="1"/>
  <c r="L75" i="7"/>
  <c r="M50" i="2"/>
  <c r="M52" i="7" s="1"/>
  <c r="L52" i="7"/>
  <c r="M74" i="2"/>
  <c r="M76" i="7" s="1"/>
  <c r="L76" i="7"/>
  <c r="M103" i="2"/>
  <c r="M105" i="7" s="1"/>
  <c r="L105" i="7"/>
  <c r="M38" i="2"/>
  <c r="M40" i="7" s="1"/>
  <c r="L40" i="7"/>
  <c r="M69" i="2"/>
  <c r="M71" i="7" s="1"/>
  <c r="L71" i="7"/>
  <c r="M104" i="2"/>
  <c r="M106" i="7" s="1"/>
  <c r="L106" i="7"/>
  <c r="L70" i="7"/>
  <c r="M68" i="2"/>
  <c r="M70" i="7" s="1"/>
  <c r="M47" i="2"/>
  <c r="M49" i="7" s="1"/>
  <c r="L49" i="7"/>
  <c r="M11" i="2"/>
  <c r="M13" i="7" s="1"/>
  <c r="L13" i="7"/>
  <c r="J37" i="4"/>
  <c r="J28" i="4"/>
  <c r="M52" i="2"/>
  <c r="M54" i="7" s="1"/>
  <c r="L54" i="7"/>
  <c r="J58" i="3"/>
  <c r="M21" i="2"/>
  <c r="M23" i="7" s="1"/>
  <c r="L23" i="7"/>
  <c r="M37" i="2"/>
  <c r="M39" i="7" s="1"/>
  <c r="L39" i="7"/>
  <c r="M33" i="2"/>
  <c r="M35" i="7" s="1"/>
  <c r="L35" i="7"/>
  <c r="M85" i="2"/>
  <c r="M87" i="7" s="1"/>
  <c r="L87" i="7"/>
  <c r="J77" i="3"/>
  <c r="I84" i="3"/>
  <c r="I37" i="3"/>
  <c r="I102" i="3"/>
  <c r="I73" i="3"/>
  <c r="I50" i="3"/>
  <c r="I69" i="3"/>
  <c r="I67" i="3"/>
  <c r="F74" i="3"/>
  <c r="F48" i="3"/>
  <c r="F33" i="3"/>
  <c r="F96" i="3"/>
  <c r="F78" i="3"/>
  <c r="F76" i="3"/>
  <c r="F20" i="3"/>
  <c r="F98" i="3"/>
  <c r="F15" i="3"/>
  <c r="F32" i="3"/>
  <c r="F62" i="3"/>
  <c r="F61" i="3"/>
  <c r="F60" i="3"/>
  <c r="F64" i="3"/>
  <c r="F44" i="3"/>
  <c r="F59" i="3"/>
  <c r="F109" i="3"/>
  <c r="F108" i="3"/>
  <c r="F41" i="3"/>
  <c r="F16" i="3"/>
  <c r="F65" i="3"/>
  <c r="F79" i="3"/>
  <c r="F80" i="3"/>
  <c r="F39" i="3"/>
  <c r="F40" i="3"/>
  <c r="F17" i="3"/>
  <c r="F38" i="3"/>
  <c r="F30" i="3"/>
  <c r="F77" i="3"/>
  <c r="F97" i="3"/>
  <c r="F63" i="3"/>
  <c r="F81" i="3"/>
  <c r="F92" i="3"/>
  <c r="F52" i="3"/>
  <c r="F89" i="3"/>
  <c r="F88" i="3"/>
  <c r="F31" i="3"/>
  <c r="F95" i="3"/>
  <c r="I58" i="3"/>
  <c r="F50" i="3"/>
  <c r="F82" i="3"/>
  <c r="F93" i="3"/>
  <c r="F91" i="3"/>
  <c r="F28" i="3"/>
  <c r="F86" i="3"/>
  <c r="F73" i="3"/>
  <c r="I53" i="3"/>
  <c r="G15" i="3"/>
  <c r="G97" i="3"/>
  <c r="G19" i="3"/>
  <c r="G94" i="3"/>
  <c r="G32" i="3"/>
  <c r="G61" i="3"/>
  <c r="G65" i="3"/>
  <c r="G60" i="3"/>
  <c r="G81" i="3"/>
  <c r="G111" i="3"/>
  <c r="G47" i="3"/>
  <c r="G36" i="3"/>
  <c r="G34" i="3"/>
  <c r="G18" i="3"/>
  <c r="G16" i="3"/>
  <c r="G77" i="3"/>
  <c r="G107" i="3"/>
  <c r="G79" i="3"/>
  <c r="G80" i="3"/>
  <c r="G31" i="3"/>
  <c r="G58" i="3"/>
  <c r="H83" i="3"/>
  <c r="H77" i="3"/>
  <c r="H78" i="3"/>
  <c r="H108" i="3"/>
  <c r="H96" i="3"/>
  <c r="H15" i="3"/>
  <c r="H26" i="3"/>
  <c r="H32" i="3"/>
  <c r="H31" i="3"/>
  <c r="H66" i="3"/>
  <c r="H92" i="3"/>
  <c r="H106" i="3"/>
  <c r="H76" i="3"/>
  <c r="H50" i="3"/>
  <c r="H14" i="3"/>
  <c r="H13" i="3"/>
  <c r="H16" i="3"/>
  <c r="H95" i="3"/>
  <c r="H93" i="3"/>
  <c r="H109" i="3"/>
  <c r="H52" i="3"/>
  <c r="H44" i="3"/>
  <c r="H84" i="3"/>
  <c r="H67" i="3"/>
  <c r="H51" i="3"/>
  <c r="H82" i="3"/>
  <c r="H60" i="3"/>
  <c r="H105" i="3"/>
  <c r="H111" i="3"/>
  <c r="H30" i="3"/>
  <c r="H94" i="3"/>
  <c r="H45" i="3"/>
  <c r="H17" i="3"/>
  <c r="H27" i="3"/>
  <c r="H79" i="3"/>
  <c r="H29" i="3"/>
  <c r="H63" i="3"/>
  <c r="H80" i="3"/>
  <c r="H70" i="3"/>
  <c r="H85" i="3"/>
  <c r="H48" i="3"/>
  <c r="H103" i="3"/>
  <c r="H47" i="3"/>
  <c r="G109" i="3"/>
  <c r="F83" i="3"/>
  <c r="F101" i="3"/>
  <c r="F13" i="3"/>
  <c r="I103" i="3"/>
  <c r="H54" i="3"/>
  <c r="H34" i="3"/>
  <c r="G96" i="3"/>
  <c r="H57" i="3"/>
  <c r="I51" i="3"/>
  <c r="I26" i="3"/>
  <c r="G24" i="3"/>
  <c r="F26" i="3"/>
  <c r="F105" i="3"/>
  <c r="H99" i="3"/>
  <c r="G85" i="3"/>
  <c r="G64" i="3"/>
  <c r="H64" i="3"/>
  <c r="I43" i="3"/>
  <c r="H25" i="3"/>
  <c r="I56" i="3"/>
  <c r="I13" i="3"/>
  <c r="H20" i="3"/>
  <c r="I76" i="3"/>
  <c r="I21" i="3"/>
  <c r="I31" i="3"/>
  <c r="I22" i="3"/>
  <c r="I96" i="3"/>
  <c r="I15" i="3"/>
  <c r="I65" i="3"/>
  <c r="I78" i="3"/>
  <c r="I24" i="3"/>
  <c r="I109" i="3"/>
  <c r="I64" i="3"/>
  <c r="I63" i="3"/>
  <c r="I29" i="3"/>
  <c r="I16" i="3"/>
  <c r="I35" i="3"/>
  <c r="I19" i="3"/>
  <c r="I47" i="3"/>
  <c r="I49" i="3"/>
  <c r="I79" i="3"/>
  <c r="I32" i="3"/>
  <c r="I34" i="3"/>
  <c r="I48" i="3"/>
  <c r="I33" i="3"/>
  <c r="I97" i="3"/>
  <c r="I54" i="3"/>
  <c r="I20" i="3"/>
  <c r="I95" i="3"/>
  <c r="I92" i="3"/>
  <c r="I72" i="3"/>
  <c r="I110" i="3"/>
  <c r="I80" i="3"/>
  <c r="I55" i="3"/>
  <c r="I44" i="3"/>
  <c r="I18" i="3"/>
  <c r="I93" i="3"/>
  <c r="I98" i="3"/>
  <c r="I94" i="3"/>
  <c r="I27" i="3"/>
  <c r="I81" i="3"/>
  <c r="I77" i="3"/>
  <c r="I46" i="3"/>
  <c r="I17" i="3"/>
  <c r="I101" i="3"/>
  <c r="I111" i="3"/>
  <c r="I45" i="3"/>
  <c r="I28" i="3"/>
  <c r="I36" i="3"/>
  <c r="I14" i="3"/>
  <c r="I60" i="3"/>
  <c r="I108" i="3"/>
  <c r="I30" i="3"/>
  <c r="I23" i="3"/>
  <c r="I25" i="3"/>
  <c r="I39" i="3"/>
  <c r="I85" i="3"/>
  <c r="I75" i="3"/>
  <c r="I89" i="3"/>
  <c r="I100" i="3"/>
  <c r="I82" i="3"/>
  <c r="F103" i="3"/>
  <c r="F53" i="3"/>
  <c r="F37" i="3"/>
  <c r="F110" i="3"/>
  <c r="I61" i="3"/>
  <c r="I91" i="3"/>
  <c r="F23" i="3"/>
  <c r="F69" i="3"/>
  <c r="F111" i="3"/>
  <c r="I104" i="3"/>
  <c r="F87" i="3"/>
  <c r="F35" i="3"/>
  <c r="F67" i="3"/>
  <c r="I40" i="3"/>
  <c r="G68" i="3"/>
  <c r="G40" i="3"/>
  <c r="F90" i="3"/>
  <c r="F29" i="3"/>
  <c r="H86" i="3"/>
  <c r="I88" i="3"/>
  <c r="G38" i="3"/>
  <c r="G39" i="3"/>
  <c r="G99" i="3"/>
  <c r="G20" i="3"/>
  <c r="G53" i="3"/>
  <c r="F21" i="3"/>
  <c r="F14" i="3"/>
  <c r="F49" i="3"/>
  <c r="F99" i="3"/>
  <c r="H91" i="3"/>
  <c r="F34" i="3"/>
  <c r="H53" i="3"/>
  <c r="I71" i="3"/>
  <c r="H58" i="3"/>
  <c r="I90" i="3"/>
  <c r="I38" i="3"/>
  <c r="H73" i="3"/>
  <c r="J84" i="4"/>
  <c r="J91" i="3"/>
  <c r="J59" i="4"/>
  <c r="J66" i="3"/>
  <c r="J36" i="4"/>
  <c r="J43" i="3"/>
  <c r="J103" i="4"/>
  <c r="J110" i="3"/>
  <c r="J19" i="4"/>
  <c r="J26" i="3"/>
  <c r="J35" i="4"/>
  <c r="J42" i="3"/>
  <c r="J47" i="4"/>
  <c r="J54" i="3"/>
  <c r="J66" i="4"/>
  <c r="J73" i="3"/>
  <c r="J50" i="4"/>
  <c r="J57" i="3"/>
  <c r="J46" i="4"/>
  <c r="J53" i="3"/>
  <c r="J81" i="4"/>
  <c r="J88" i="3"/>
  <c r="J69" i="4"/>
  <c r="J76" i="3"/>
  <c r="J99" i="4"/>
  <c r="J106" i="3"/>
  <c r="J83" i="4"/>
  <c r="J90" i="3"/>
  <c r="J68" i="3"/>
  <c r="J61" i="4"/>
  <c r="J33" i="4"/>
  <c r="J40" i="3"/>
  <c r="J102" i="4"/>
  <c r="J109" i="3"/>
  <c r="J31" i="4"/>
  <c r="J38" i="3"/>
  <c r="J16" i="4"/>
  <c r="J23" i="3"/>
  <c r="J17" i="4"/>
  <c r="J24" i="3"/>
  <c r="J75" i="4"/>
  <c r="J82" i="3"/>
  <c r="J32" i="4"/>
  <c r="J39" i="3"/>
  <c r="J99" i="3"/>
  <c r="J92" i="4"/>
  <c r="J13" i="4"/>
  <c r="J20" i="3"/>
  <c r="J65" i="4"/>
  <c r="J72" i="3"/>
  <c r="J84" i="3"/>
  <c r="J77" i="4"/>
  <c r="J45" i="4"/>
  <c r="J52" i="3"/>
  <c r="J20" i="4"/>
  <c r="J27" i="3"/>
  <c r="J62" i="4"/>
  <c r="J69" i="3"/>
  <c r="J64" i="4"/>
  <c r="J71" i="3"/>
  <c r="J95" i="4"/>
  <c r="J102" i="3"/>
  <c r="J98" i="4"/>
  <c r="J105" i="3"/>
  <c r="J96" i="4"/>
  <c r="J103" i="3"/>
  <c r="J63" i="4"/>
  <c r="J70" i="3"/>
  <c r="J79" i="4"/>
  <c r="J86" i="3"/>
  <c r="J67" i="4"/>
  <c r="J74" i="3"/>
  <c r="J15" i="4"/>
  <c r="J22" i="3"/>
  <c r="J30" i="4"/>
  <c r="J37" i="3"/>
  <c r="J82" i="4"/>
  <c r="J89" i="3"/>
  <c r="J67" i="3"/>
  <c r="J60" i="4"/>
  <c r="J93" i="4"/>
  <c r="J100" i="3"/>
  <c r="J14" i="4"/>
  <c r="J21" i="3"/>
  <c r="J43" i="4"/>
  <c r="J50" i="3"/>
  <c r="J49" i="4"/>
  <c r="J56" i="3"/>
  <c r="J91" i="4"/>
  <c r="J98" i="3"/>
  <c r="J94" i="4"/>
  <c r="J101" i="3"/>
  <c r="J52" i="4"/>
  <c r="J59" i="3"/>
  <c r="J83" i="3"/>
  <c r="J76" i="4"/>
  <c r="J80" i="4"/>
  <c r="J87" i="3"/>
  <c r="J51" i="3"/>
  <c r="J44" i="4"/>
  <c r="J48" i="4"/>
  <c r="J55" i="3"/>
  <c r="Q16" i="3"/>
  <c r="Q17" i="3" s="1"/>
  <c r="Q18" i="3" s="1"/>
  <c r="Q19" i="3" s="1"/>
  <c r="Q20" i="3" s="1"/>
  <c r="P73" i="7" l="1"/>
  <c r="Q73" i="7" s="1"/>
  <c r="P95" i="7"/>
  <c r="Q95" i="7" s="1"/>
  <c r="P64" i="7"/>
  <c r="Q64" i="7" s="1"/>
  <c r="P106" i="7"/>
  <c r="Q106" i="7" s="1"/>
  <c r="P79" i="7"/>
  <c r="Q79" i="7" s="1"/>
  <c r="P68" i="7"/>
  <c r="Q68" i="7" s="1"/>
  <c r="P94" i="7"/>
  <c r="Q94" i="7" s="1"/>
  <c r="P31" i="7"/>
  <c r="Q31" i="7" s="1"/>
  <c r="P25" i="7"/>
  <c r="Q25" i="7" s="1"/>
  <c r="P23" i="7"/>
  <c r="Q23" i="7" s="1"/>
  <c r="P58" i="7"/>
  <c r="Q58" i="7" s="1"/>
  <c r="P39" i="7"/>
  <c r="Q39" i="7" s="1"/>
  <c r="P46" i="7"/>
  <c r="Q46" i="7" s="1"/>
  <c r="P84" i="7"/>
  <c r="Q84" i="7" s="1"/>
  <c r="P83" i="7"/>
  <c r="Q83" i="7" s="1"/>
  <c r="P62" i="7"/>
  <c r="Q62" i="7" s="1"/>
  <c r="P71" i="7"/>
  <c r="Q71" i="7" s="1"/>
  <c r="P29" i="7"/>
  <c r="Q29" i="7" s="1"/>
  <c r="P86" i="7"/>
  <c r="Q86" i="7" s="1"/>
  <c r="P66" i="7"/>
  <c r="Q66" i="7" s="1"/>
  <c r="P50" i="7"/>
  <c r="Q50" i="7" s="1"/>
  <c r="P61" i="7"/>
  <c r="Q61" i="7" s="1"/>
  <c r="P20" i="7"/>
  <c r="Q20" i="7" s="1"/>
  <c r="P15" i="7"/>
  <c r="Q15" i="7" s="1"/>
  <c r="P96" i="7"/>
  <c r="Q96" i="7" s="1"/>
  <c r="P54" i="7"/>
  <c r="Q54" i="7" s="1"/>
  <c r="P44" i="7"/>
  <c r="Q44" i="7" s="1"/>
  <c r="P47" i="7"/>
  <c r="Q47" i="7" s="1"/>
  <c r="P76" i="7"/>
  <c r="Q76" i="7" s="1"/>
  <c r="P89" i="7"/>
  <c r="Q89" i="7" s="1"/>
  <c r="P13" i="7"/>
  <c r="Q13" i="7" s="1"/>
  <c r="P52" i="7"/>
  <c r="Q52" i="7" s="1"/>
  <c r="P53" i="7"/>
  <c r="Q53" i="7" s="1"/>
  <c r="P41" i="7"/>
  <c r="Q41" i="7" s="1"/>
  <c r="P32" i="7"/>
  <c r="Q32" i="7" s="1"/>
  <c r="P85" i="7"/>
  <c r="Q85" i="7" s="1"/>
  <c r="P63" i="7"/>
  <c r="Q63" i="7" s="1"/>
  <c r="P97" i="7"/>
  <c r="Q97" i="7" s="1"/>
  <c r="P40" i="7"/>
  <c r="Q40" i="7" s="1"/>
  <c r="P105" i="7"/>
  <c r="Q105" i="7" s="1"/>
  <c r="P80" i="7"/>
  <c r="Q80" i="7" s="1"/>
  <c r="P98" i="7"/>
  <c r="Q98" i="7" s="1"/>
  <c r="P49" i="7"/>
  <c r="Q49" i="7" s="1"/>
  <c r="P75" i="7"/>
  <c r="Q75" i="7" s="1"/>
  <c r="P51" i="7"/>
  <c r="Q51" i="7" s="1"/>
  <c r="P12" i="7"/>
  <c r="Q12" i="7" s="1"/>
  <c r="P28" i="7"/>
  <c r="Q28" i="7" s="1"/>
  <c r="P87" i="7"/>
  <c r="Q87" i="7" s="1"/>
  <c r="P70" i="7"/>
  <c r="Q70" i="7" s="1"/>
  <c r="P104" i="7"/>
  <c r="Q104" i="7" s="1"/>
  <c r="P17" i="7"/>
  <c r="Q17" i="7" s="1"/>
  <c r="P27" i="7"/>
  <c r="Q27" i="7" s="1"/>
  <c r="P93" i="7"/>
  <c r="Q93" i="7" s="1"/>
  <c r="P102" i="7"/>
  <c r="Q102" i="7" s="1"/>
  <c r="P35" i="7"/>
  <c r="Q35" i="7" s="1"/>
  <c r="P92" i="7"/>
  <c r="Q92" i="7" s="1"/>
  <c r="P103" i="7"/>
  <c r="Q103" i="7" s="1"/>
  <c r="M111" i="2"/>
  <c r="M11" i="7"/>
  <c r="P11" i="7" s="1"/>
  <c r="L27" i="5"/>
  <c r="K63" i="4"/>
  <c r="K70" i="3" s="1"/>
  <c r="K92" i="4"/>
  <c r="K99" i="3" s="1"/>
  <c r="K45" i="4"/>
  <c r="K52" i="3" s="1"/>
  <c r="K69" i="4"/>
  <c r="K76" i="3" s="1"/>
  <c r="K49" i="4"/>
  <c r="K56" i="3" s="1"/>
  <c r="K103" i="4"/>
  <c r="K110" i="3" s="1"/>
  <c r="K64" i="4"/>
  <c r="K71" i="3" s="1"/>
  <c r="K52" i="4"/>
  <c r="K59" i="3" s="1"/>
  <c r="K15" i="4"/>
  <c r="K22" i="3" s="1"/>
  <c r="K82" i="4"/>
  <c r="K89" i="3" s="1"/>
  <c r="K75" i="4"/>
  <c r="K82" i="3" s="1"/>
  <c r="K95" i="4"/>
  <c r="K102" i="3" s="1"/>
  <c r="K30" i="4"/>
  <c r="K37" i="3" s="1"/>
  <c r="K66" i="4"/>
  <c r="K73" i="3" s="1"/>
  <c r="K13" i="4"/>
  <c r="K20" i="3" s="1"/>
  <c r="K50" i="4"/>
  <c r="K57" i="3" s="1"/>
  <c r="K79" i="4"/>
  <c r="K86" i="3" s="1"/>
  <c r="K62" i="4"/>
  <c r="K69" i="3" s="1"/>
  <c r="K17" i="4"/>
  <c r="K24" i="3" s="1"/>
  <c r="K65" i="4"/>
  <c r="K72" i="3" s="1"/>
  <c r="K94" i="4"/>
  <c r="K101" i="3" s="1"/>
  <c r="K96" i="4"/>
  <c r="K103" i="3" s="1"/>
  <c r="K98" i="4"/>
  <c r="K105" i="3" s="1"/>
  <c r="K102" i="4"/>
  <c r="K109" i="3" s="1"/>
  <c r="M109" i="3" s="1"/>
  <c r="O109" i="3" s="1"/>
  <c r="K35" i="4"/>
  <c r="K42" i="3" s="1"/>
  <c r="K47" i="4"/>
  <c r="K54" i="3" s="1"/>
  <c r="K19" i="4"/>
  <c r="K26" i="3" s="1"/>
  <c r="K48" i="4"/>
  <c r="K55" i="3" s="1"/>
  <c r="K44" i="4"/>
  <c r="K51" i="3" s="1"/>
  <c r="K91" i="4"/>
  <c r="K98" i="3" s="1"/>
  <c r="K32" i="4"/>
  <c r="K39" i="3" s="1"/>
  <c r="K99" i="4"/>
  <c r="K106" i="3" s="1"/>
  <c r="K81" i="4"/>
  <c r="K88" i="3" s="1"/>
  <c r="K43" i="4"/>
  <c r="K50" i="3" s="1"/>
  <c r="K76" i="4"/>
  <c r="K83" i="3" s="1"/>
  <c r="K60" i="4"/>
  <c r="K67" i="3" s="1"/>
  <c r="K16" i="4"/>
  <c r="K23" i="3" s="1"/>
  <c r="K33" i="4"/>
  <c r="K40" i="3" s="1"/>
  <c r="K59" i="4"/>
  <c r="K66" i="3" s="1"/>
  <c r="K36" i="4"/>
  <c r="K43" i="3" s="1"/>
  <c r="K61" i="4"/>
  <c r="K68" i="3" s="1"/>
  <c r="K46" i="4"/>
  <c r="K53" i="3" s="1"/>
  <c r="K14" i="4"/>
  <c r="K21" i="3" s="1"/>
  <c r="K77" i="4"/>
  <c r="K84" i="3" s="1"/>
  <c r="K80" i="4"/>
  <c r="K87" i="3" s="1"/>
  <c r="K20" i="4"/>
  <c r="K27" i="3" s="1"/>
  <c r="K84" i="4"/>
  <c r="K91" i="3" s="1"/>
  <c r="K31" i="4"/>
  <c r="K38" i="3" s="1"/>
  <c r="K93" i="4"/>
  <c r="K100" i="3" s="1"/>
  <c r="K83" i="4"/>
  <c r="K90" i="3" s="1"/>
  <c r="K67" i="4"/>
  <c r="K74" i="3" s="1"/>
  <c r="K55" i="4"/>
  <c r="K62" i="3" s="1"/>
  <c r="K6" i="4"/>
  <c r="K13" i="3" s="1"/>
  <c r="K86" i="4"/>
  <c r="K93" i="3" s="1"/>
  <c r="K42" i="4"/>
  <c r="K49" i="3" s="1"/>
  <c r="K56" i="4"/>
  <c r="K63" i="3" s="1"/>
  <c r="K89" i="4"/>
  <c r="K96" i="3" s="1"/>
  <c r="K78" i="4"/>
  <c r="K85" i="3" s="1"/>
  <c r="K34" i="4"/>
  <c r="K41" i="3" s="1"/>
  <c r="K68" i="4"/>
  <c r="K75" i="3" s="1"/>
  <c r="K18" i="4"/>
  <c r="K25" i="3" s="1"/>
  <c r="K97" i="4"/>
  <c r="K104" i="3" s="1"/>
  <c r="K21" i="4"/>
  <c r="K28" i="3" s="1"/>
  <c r="K40" i="4"/>
  <c r="K47" i="3" s="1"/>
  <c r="K37" i="4"/>
  <c r="K44" i="3" s="1"/>
  <c r="M44" i="3" s="1"/>
  <c r="K10" i="4"/>
  <c r="K17" i="3" s="1"/>
  <c r="K57" i="4"/>
  <c r="K64" i="3" s="1"/>
  <c r="K87" i="4"/>
  <c r="K94" i="3" s="1"/>
  <c r="K7" i="4"/>
  <c r="K14" i="3" s="1"/>
  <c r="K22" i="4"/>
  <c r="K29" i="3" s="1"/>
  <c r="K26" i="4"/>
  <c r="K33" i="3" s="1"/>
  <c r="K101" i="4"/>
  <c r="K108" i="3" s="1"/>
  <c r="K53" i="4"/>
  <c r="K60" i="3" s="1"/>
  <c r="K88" i="4"/>
  <c r="K95" i="3" s="1"/>
  <c r="K24" i="4"/>
  <c r="K31" i="3" s="1"/>
  <c r="K71" i="4"/>
  <c r="K78" i="3" s="1"/>
  <c r="K9" i="4"/>
  <c r="K16" i="3" s="1"/>
  <c r="K29" i="4"/>
  <c r="K36" i="3" s="1"/>
  <c r="K90" i="4"/>
  <c r="K97" i="3" s="1"/>
  <c r="K54" i="4"/>
  <c r="K61" i="3" s="1"/>
  <c r="K72" i="4"/>
  <c r="K79" i="3" s="1"/>
  <c r="K70" i="4"/>
  <c r="K77" i="3" s="1"/>
  <c r="K38" i="4"/>
  <c r="K45" i="3" s="1"/>
  <c r="K28" i="4"/>
  <c r="K35" i="3" s="1"/>
  <c r="K73" i="4"/>
  <c r="K80" i="3" s="1"/>
  <c r="K25" i="4"/>
  <c r="K32" i="3" s="1"/>
  <c r="K58" i="4"/>
  <c r="K65" i="3" s="1"/>
  <c r="K41" i="4"/>
  <c r="K48" i="3" s="1"/>
  <c r="K12" i="4"/>
  <c r="K19" i="3" s="1"/>
  <c r="K104" i="4"/>
  <c r="K111" i="3" s="1"/>
  <c r="K8" i="4"/>
  <c r="K15" i="3" s="1"/>
  <c r="K51" i="4"/>
  <c r="K58" i="3" s="1"/>
  <c r="K39" i="4"/>
  <c r="K46" i="3" s="1"/>
  <c r="K100" i="4"/>
  <c r="K107" i="3" s="1"/>
  <c r="K11" i="4"/>
  <c r="K18" i="3" s="1"/>
  <c r="K27" i="4"/>
  <c r="K34" i="3" s="1"/>
  <c r="K23" i="4"/>
  <c r="K30" i="3" s="1"/>
  <c r="K74" i="4"/>
  <c r="K81" i="3" s="1"/>
  <c r="K85" i="4"/>
  <c r="K92" i="3" s="1"/>
  <c r="Q11" i="7" l="1"/>
  <c r="Q27" i="5"/>
  <c r="Q26" i="5"/>
  <c r="Q33" i="5" s="1"/>
  <c r="Q28" i="5"/>
  <c r="Q34" i="5" s="1"/>
  <c r="O44" i="3"/>
  <c r="L44" i="3" s="1"/>
  <c r="M108" i="3"/>
  <c r="O108" i="3" s="1"/>
  <c r="L108" i="3" s="1"/>
  <c r="M46" i="3"/>
  <c r="L109" i="3"/>
  <c r="M59" i="3"/>
  <c r="M93" i="3"/>
  <c r="M91" i="3"/>
  <c r="M95" i="3"/>
  <c r="M66" i="3"/>
  <c r="M90" i="3"/>
  <c r="M102" i="3"/>
  <c r="M35" i="3"/>
  <c r="M34" i="3"/>
  <c r="M33" i="3"/>
  <c r="M50" i="3"/>
  <c r="M79" i="3"/>
  <c r="M29" i="3"/>
  <c r="M96" i="3"/>
  <c r="M88" i="3"/>
  <c r="M105" i="3"/>
  <c r="M61" i="3"/>
  <c r="M14" i="3"/>
  <c r="M92" i="3"/>
  <c r="M23" i="3"/>
  <c r="M75" i="3"/>
  <c r="M97" i="3"/>
  <c r="M94" i="3"/>
  <c r="M49" i="3"/>
  <c r="M72" i="3"/>
  <c r="M48" i="3"/>
  <c r="M43" i="3"/>
  <c r="M26" i="3"/>
  <c r="M37" i="3"/>
  <c r="M25" i="3"/>
  <c r="O25" i="3" s="1"/>
  <c r="M30" i="3"/>
  <c r="M38" i="3"/>
  <c r="M45" i="3"/>
  <c r="M83" i="3"/>
  <c r="M89" i="3"/>
  <c r="M77" i="3"/>
  <c r="M85" i="3"/>
  <c r="M63" i="3"/>
  <c r="M58" i="3"/>
  <c r="M17" i="3"/>
  <c r="M24" i="3"/>
  <c r="M71" i="3"/>
  <c r="M47" i="3"/>
  <c r="M76" i="3"/>
  <c r="M74" i="3"/>
  <c r="M52" i="3"/>
  <c r="M32" i="3"/>
  <c r="M40" i="3"/>
  <c r="M54" i="3"/>
  <c r="M100" i="3"/>
  <c r="M42" i="3"/>
  <c r="M15" i="3"/>
  <c r="M69" i="3"/>
  <c r="M111" i="3"/>
  <c r="M78" i="3"/>
  <c r="M13" i="3"/>
  <c r="M51" i="3"/>
  <c r="M19" i="3"/>
  <c r="M31" i="3"/>
  <c r="M68" i="3"/>
  <c r="M55" i="3"/>
  <c r="M56" i="3"/>
  <c r="M22" i="3"/>
  <c r="M86" i="3"/>
  <c r="M99" i="3"/>
  <c r="M87" i="3"/>
  <c r="M81" i="3"/>
  <c r="M41" i="3"/>
  <c r="M64" i="3"/>
  <c r="M53" i="3"/>
  <c r="M101" i="3"/>
  <c r="M62" i="3"/>
  <c r="M110" i="3"/>
  <c r="M107" i="3"/>
  <c r="M27" i="3"/>
  <c r="M70" i="3"/>
  <c r="M57" i="3"/>
  <c r="M20" i="3"/>
  <c r="M82" i="3"/>
  <c r="M104" i="3"/>
  <c r="M106" i="3"/>
  <c r="M80" i="3"/>
  <c r="M67" i="3"/>
  <c r="M39" i="3"/>
  <c r="M84" i="3"/>
  <c r="M73" i="3"/>
  <c r="M65" i="3"/>
  <c r="M16" i="3"/>
  <c r="M98" i="3"/>
  <c r="M60" i="3"/>
  <c r="M21" i="3"/>
  <c r="M18" i="3"/>
  <c r="M28" i="3"/>
  <c r="M36" i="3"/>
  <c r="M103" i="3"/>
  <c r="K5" i="4"/>
  <c r="K12" i="3" s="1"/>
  <c r="Q35" i="5" l="1"/>
  <c r="O19" i="3"/>
  <c r="L19" i="3" s="1"/>
  <c r="O48" i="3"/>
  <c r="L48" i="3" s="1"/>
  <c r="O16" i="3"/>
  <c r="L16" i="3" s="1"/>
  <c r="O58" i="3"/>
  <c r="O90" i="3"/>
  <c r="L90" i="3" s="1"/>
  <c r="O85" i="3"/>
  <c r="L85" i="3" s="1"/>
  <c r="O15" i="3"/>
  <c r="O95" i="3"/>
  <c r="O24" i="3"/>
  <c r="L24" i="3" s="1"/>
  <c r="O17" i="3"/>
  <c r="L17" i="3" s="1"/>
  <c r="O78" i="3"/>
  <c r="L78" i="3" s="1"/>
  <c r="O69" i="3"/>
  <c r="O71" i="3"/>
  <c r="O33" i="3"/>
  <c r="O51" i="3"/>
  <c r="O66" i="3"/>
  <c r="O23" i="3"/>
  <c r="O81" i="3"/>
  <c r="L81" i="3" s="1"/>
  <c r="O42" i="3"/>
  <c r="L42" i="3" s="1"/>
  <c r="O80" i="3"/>
  <c r="O93" i="3"/>
  <c r="O105" i="3"/>
  <c r="O88" i="3"/>
  <c r="O46" i="3"/>
  <c r="O18" i="3"/>
  <c r="L18" i="3" s="1"/>
  <c r="O79" i="3"/>
  <c r="L79" i="3" s="1"/>
  <c r="O50" i="3"/>
  <c r="N103" i="2"/>
  <c r="N38" i="2"/>
  <c r="N102" i="2"/>
  <c r="O99" i="3"/>
  <c r="O83" i="3"/>
  <c r="O86" i="3"/>
  <c r="O91" i="3"/>
  <c r="O22" i="3"/>
  <c r="O57" i="3"/>
  <c r="O32" i="3"/>
  <c r="O30" i="3"/>
  <c r="O70" i="3"/>
  <c r="O60" i="3"/>
  <c r="O110" i="3"/>
  <c r="L110" i="3" s="1"/>
  <c r="O47" i="3"/>
  <c r="L47" i="3" s="1"/>
  <c r="O43" i="3"/>
  <c r="O29" i="3"/>
  <c r="O65" i="3"/>
  <c r="O101" i="3"/>
  <c r="O13" i="3"/>
  <c r="O72" i="3"/>
  <c r="O103" i="3"/>
  <c r="O100" i="3"/>
  <c r="O36" i="3"/>
  <c r="O61" i="3"/>
  <c r="O20" i="3"/>
  <c r="O38" i="3"/>
  <c r="O21" i="3"/>
  <c r="O55" i="3"/>
  <c r="O52" i="3"/>
  <c r="O27" i="3"/>
  <c r="O68" i="3"/>
  <c r="O74" i="3"/>
  <c r="O37" i="3"/>
  <c r="O98" i="3"/>
  <c r="O107" i="3"/>
  <c r="O31" i="3"/>
  <c r="O76" i="3"/>
  <c r="O26" i="3"/>
  <c r="O96" i="3"/>
  <c r="O62" i="3"/>
  <c r="O73" i="3"/>
  <c r="O53" i="3"/>
  <c r="O49" i="3"/>
  <c r="O104" i="3"/>
  <c r="O14" i="3"/>
  <c r="O82" i="3"/>
  <c r="O45" i="3"/>
  <c r="O56" i="3"/>
  <c r="O59" i="3"/>
  <c r="O84" i="3"/>
  <c r="O94" i="3"/>
  <c r="O34" i="3"/>
  <c r="L34" i="3" s="1"/>
  <c r="O64" i="3"/>
  <c r="O63" i="3"/>
  <c r="O97" i="3"/>
  <c r="O35" i="3"/>
  <c r="O67" i="3"/>
  <c r="O54" i="3"/>
  <c r="O28" i="3"/>
  <c r="O40" i="3"/>
  <c r="O39" i="3"/>
  <c r="O111" i="3"/>
  <c r="L111" i="3" s="1"/>
  <c r="O41" i="3"/>
  <c r="L41" i="3" s="1"/>
  <c r="O75" i="3"/>
  <c r="O102" i="3"/>
  <c r="O77" i="3"/>
  <c r="O106" i="3"/>
  <c r="O87" i="3"/>
  <c r="O89" i="3"/>
  <c r="O92" i="3"/>
  <c r="L25" i="3"/>
  <c r="M12" i="3"/>
  <c r="L37" i="4" l="1"/>
  <c r="N40" i="7"/>
  <c r="L101" i="4"/>
  <c r="N104" i="7"/>
  <c r="L102" i="4"/>
  <c r="N105" i="7"/>
  <c r="L63" i="3"/>
  <c r="L91" i="3"/>
  <c r="L72" i="3"/>
  <c r="L13" i="3"/>
  <c r="N7" i="2" s="1"/>
  <c r="N9" i="7" s="1"/>
  <c r="L98" i="3"/>
  <c r="L59" i="3"/>
  <c r="L37" i="3"/>
  <c r="L33" i="3"/>
  <c r="L88" i="3"/>
  <c r="L74" i="3"/>
  <c r="L68" i="3"/>
  <c r="L14" i="3"/>
  <c r="L60" i="3"/>
  <c r="L100" i="3"/>
  <c r="L89" i="3"/>
  <c r="L64" i="3"/>
  <c r="L103" i="3"/>
  <c r="L86" i="3"/>
  <c r="L46" i="3"/>
  <c r="L31" i="3"/>
  <c r="L83" i="3"/>
  <c r="L107" i="3"/>
  <c r="L77" i="3"/>
  <c r="L101" i="3"/>
  <c r="L75" i="3"/>
  <c r="L29" i="3"/>
  <c r="L45" i="3"/>
  <c r="L82" i="3"/>
  <c r="L27" i="3"/>
  <c r="L95" i="3"/>
  <c r="L39" i="3"/>
  <c r="L52" i="3"/>
  <c r="L80" i="3"/>
  <c r="L58" i="3"/>
  <c r="L40" i="3"/>
  <c r="L104" i="3"/>
  <c r="L55" i="3"/>
  <c r="L105" i="3"/>
  <c r="L69" i="3"/>
  <c r="L28" i="3"/>
  <c r="L49" i="3"/>
  <c r="L21" i="3"/>
  <c r="L70" i="3"/>
  <c r="L50" i="3"/>
  <c r="L92" i="3"/>
  <c r="L26" i="3"/>
  <c r="L76" i="3"/>
  <c r="L87" i="3"/>
  <c r="L106" i="3"/>
  <c r="L94" i="3"/>
  <c r="L99" i="3"/>
  <c r="L84" i="3"/>
  <c r="L102" i="3"/>
  <c r="L65" i="3"/>
  <c r="L56" i="3"/>
  <c r="L43" i="3"/>
  <c r="L54" i="3"/>
  <c r="L53" i="3"/>
  <c r="L38" i="3"/>
  <c r="L30" i="3"/>
  <c r="L66" i="3"/>
  <c r="L51" i="3"/>
  <c r="L67" i="3"/>
  <c r="L73" i="3"/>
  <c r="L20" i="3"/>
  <c r="L32" i="3"/>
  <c r="L15" i="3"/>
  <c r="L71" i="3"/>
  <c r="L35" i="3"/>
  <c r="L62" i="3"/>
  <c r="L61" i="3"/>
  <c r="L57" i="3"/>
  <c r="L93" i="3"/>
  <c r="L97" i="3"/>
  <c r="L96" i="3"/>
  <c r="L36" i="3"/>
  <c r="L22" i="3"/>
  <c r="L23" i="3"/>
  <c r="N73" i="2"/>
  <c r="N72" i="2"/>
  <c r="N105" i="2"/>
  <c r="N19" i="2"/>
  <c r="N10" i="2"/>
  <c r="N36" i="2"/>
  <c r="N75" i="2"/>
  <c r="N12" i="2"/>
  <c r="N84" i="2"/>
  <c r="N35" i="2"/>
  <c r="N11" i="2"/>
  <c r="N41" i="2"/>
  <c r="N104" i="2"/>
  <c r="N18" i="2"/>
  <c r="N13" i="2"/>
  <c r="N79" i="2"/>
  <c r="N42" i="2"/>
  <c r="N28" i="2"/>
  <c r="O12" i="3"/>
  <c r="L34" i="4" l="1"/>
  <c r="N37" i="7"/>
  <c r="L27" i="4"/>
  <c r="N30" i="7"/>
  <c r="L18" i="4"/>
  <c r="N21" i="7"/>
  <c r="L40" i="4"/>
  <c r="N43" i="7"/>
  <c r="L74" i="4"/>
  <c r="N77" i="7"/>
  <c r="L83" i="4"/>
  <c r="N86" i="7"/>
  <c r="L104" i="4"/>
  <c r="N107" i="7"/>
  <c r="L71" i="4"/>
  <c r="N74" i="7"/>
  <c r="L9" i="4"/>
  <c r="N12" i="7"/>
  <c r="L41" i="4"/>
  <c r="N44" i="7"/>
  <c r="L17" i="4"/>
  <c r="N20" i="7"/>
  <c r="L10" i="4"/>
  <c r="N13" i="7"/>
  <c r="L11" i="4"/>
  <c r="N14" i="7"/>
  <c r="L35" i="4"/>
  <c r="N38" i="7"/>
  <c r="L72" i="4"/>
  <c r="N75" i="7"/>
  <c r="L78" i="4"/>
  <c r="N81" i="7"/>
  <c r="L12" i="4"/>
  <c r="N15" i="7"/>
  <c r="L103" i="4"/>
  <c r="N106" i="7"/>
  <c r="N57" i="2"/>
  <c r="N50" i="2"/>
  <c r="N101" i="2"/>
  <c r="N81" i="2"/>
  <c r="N58" i="2"/>
  <c r="N70" i="2"/>
  <c r="N83" i="2"/>
  <c r="N17" i="2"/>
  <c r="N45" i="2"/>
  <c r="N89" i="2"/>
  <c r="N60" i="2"/>
  <c r="N54" i="2"/>
  <c r="N24" i="2"/>
  <c r="N76" i="2"/>
  <c r="N32" i="2"/>
  <c r="N62" i="2"/>
  <c r="N47" i="2"/>
  <c r="N15" i="2"/>
  <c r="N68" i="2"/>
  <c r="N87" i="2"/>
  <c r="N48" i="2"/>
  <c r="N43" i="2"/>
  <c r="N69" i="2"/>
  <c r="N82" i="2"/>
  <c r="N51" i="2"/>
  <c r="N37" i="2"/>
  <c r="N22" i="2"/>
  <c r="N95" i="2"/>
  <c r="N27" i="2"/>
  <c r="N55" i="2"/>
  <c r="N63" i="2"/>
  <c r="N71" i="2"/>
  <c r="N31" i="2"/>
  <c r="N67" i="2"/>
  <c r="N46" i="2"/>
  <c r="N61" i="2"/>
  <c r="N33" i="2"/>
  <c r="N20" i="2"/>
  <c r="N94" i="2"/>
  <c r="N16" i="2"/>
  <c r="N86" i="2"/>
  <c r="N21" i="2"/>
  <c r="N30" i="2"/>
  <c r="N44" i="2"/>
  <c r="N8" i="2"/>
  <c r="N90" i="2"/>
  <c r="N64" i="2"/>
  <c r="N39" i="2"/>
  <c r="N91" i="2"/>
  <c r="N23" i="2"/>
  <c r="N56" i="2"/>
  <c r="N59" i="2"/>
  <c r="N99" i="2"/>
  <c r="N53" i="2"/>
  <c r="N29" i="2"/>
  <c r="N96" i="2"/>
  <c r="N49" i="2"/>
  <c r="N77" i="2"/>
  <c r="N92" i="2"/>
  <c r="N65" i="2"/>
  <c r="N78" i="2"/>
  <c r="N98" i="2"/>
  <c r="N25" i="2"/>
  <c r="N9" i="2"/>
  <c r="N93" i="2"/>
  <c r="N34" i="2"/>
  <c r="N40" i="2"/>
  <c r="N66" i="2"/>
  <c r="N26" i="2"/>
  <c r="N88" i="2"/>
  <c r="N52" i="2"/>
  <c r="N80" i="2"/>
  <c r="N85" i="2"/>
  <c r="N14" i="2"/>
  <c r="N100" i="2"/>
  <c r="N74" i="2"/>
  <c r="N97" i="2"/>
  <c r="L12" i="3"/>
  <c r="N6" i="2" s="1"/>
  <c r="L6" i="4"/>
  <c r="L22" i="4" l="1"/>
  <c r="N25" i="7"/>
  <c r="L92" i="4"/>
  <c r="N95" i="7"/>
  <c r="L30" i="4"/>
  <c r="N33" i="7"/>
  <c r="L46" i="4"/>
  <c r="N49" i="7"/>
  <c r="L56" i="4"/>
  <c r="N59" i="7"/>
  <c r="L61" i="4"/>
  <c r="N64" i="7"/>
  <c r="L80" i="4"/>
  <c r="N83" i="7"/>
  <c r="L39" i="4"/>
  <c r="N42" i="7"/>
  <c r="L55" i="4"/>
  <c r="N58" i="7"/>
  <c r="L45" i="4"/>
  <c r="N48" i="7"/>
  <c r="L100" i="4"/>
  <c r="N103" i="7"/>
  <c r="L33" i="4"/>
  <c r="N36" i="7"/>
  <c r="L66" i="4"/>
  <c r="N69" i="7"/>
  <c r="L14" i="4"/>
  <c r="N17" i="7"/>
  <c r="L49" i="4"/>
  <c r="N52" i="7"/>
  <c r="L90" i="4"/>
  <c r="N93" i="7"/>
  <c r="L8" i="4"/>
  <c r="N11" i="7"/>
  <c r="L38" i="4"/>
  <c r="N41" i="7"/>
  <c r="L70" i="4"/>
  <c r="N73" i="7"/>
  <c r="L24" i="4"/>
  <c r="N27" i="7"/>
  <c r="L63" i="4"/>
  <c r="N66" i="7"/>
  <c r="L62" i="4"/>
  <c r="N65" i="7"/>
  <c r="L31" i="4"/>
  <c r="N34" i="7"/>
  <c r="L86" i="4"/>
  <c r="N89" i="7"/>
  <c r="L94" i="4"/>
  <c r="N97" i="7"/>
  <c r="L58" i="4"/>
  <c r="N61" i="7"/>
  <c r="L67" i="4"/>
  <c r="N70" i="7"/>
  <c r="L89" i="4"/>
  <c r="N92" i="7"/>
  <c r="L96" i="4"/>
  <c r="N99" i="7"/>
  <c r="L77" i="4"/>
  <c r="N80" i="7"/>
  <c r="L7" i="4"/>
  <c r="N10" i="7"/>
  <c r="L26" i="4"/>
  <c r="N29" i="7"/>
  <c r="L23" i="4"/>
  <c r="N26" i="7"/>
  <c r="L64" i="4"/>
  <c r="N67" i="7"/>
  <c r="L99" i="4"/>
  <c r="N102" i="7"/>
  <c r="L91" i="4"/>
  <c r="N94" i="7"/>
  <c r="L29" i="4"/>
  <c r="N32" i="7"/>
  <c r="L13" i="4"/>
  <c r="N16" i="7"/>
  <c r="L76" i="4"/>
  <c r="N79" i="7"/>
  <c r="L36" i="4"/>
  <c r="N39" i="7"/>
  <c r="L88" i="4"/>
  <c r="N91" i="7"/>
  <c r="L48" i="4"/>
  <c r="N51" i="7"/>
  <c r="L51" i="4"/>
  <c r="N54" i="7"/>
  <c r="L28" i="4"/>
  <c r="N31" i="7"/>
  <c r="L93" i="4"/>
  <c r="N96" i="7"/>
  <c r="L68" i="4"/>
  <c r="N71" i="7"/>
  <c r="L82" i="4"/>
  <c r="N85" i="7"/>
  <c r="L60" i="4"/>
  <c r="N63" i="7"/>
  <c r="L97" i="4"/>
  <c r="N100" i="7"/>
  <c r="L75" i="4"/>
  <c r="N78" i="7"/>
  <c r="L73" i="4"/>
  <c r="N76" i="7"/>
  <c r="L43" i="4"/>
  <c r="N46" i="7"/>
  <c r="L59" i="4"/>
  <c r="N62" i="7"/>
  <c r="L95" i="4"/>
  <c r="N98" i="7"/>
  <c r="L87" i="4"/>
  <c r="N90" i="7"/>
  <c r="L52" i="4"/>
  <c r="N55" i="7"/>
  <c r="L19" i="4"/>
  <c r="N22" i="7"/>
  <c r="L42" i="4"/>
  <c r="N45" i="7"/>
  <c r="L69" i="4"/>
  <c r="N72" i="7"/>
  <c r="L65" i="4"/>
  <c r="N68" i="7"/>
  <c r="L54" i="4"/>
  <c r="N57" i="7"/>
  <c r="L53" i="4"/>
  <c r="N56" i="7"/>
  <c r="L21" i="4"/>
  <c r="N24" i="7"/>
  <c r="L20" i="4"/>
  <c r="N23" i="7"/>
  <c r="L84" i="4"/>
  <c r="N87" i="7"/>
  <c r="L85" i="4"/>
  <c r="N88" i="7"/>
  <c r="L50" i="4"/>
  <c r="N53" i="7"/>
  <c r="L44" i="4"/>
  <c r="N47" i="7"/>
  <c r="L79" i="4"/>
  <c r="N82" i="7"/>
  <c r="L15" i="4"/>
  <c r="N18" i="7"/>
  <c r="L81" i="4"/>
  <c r="N84" i="7"/>
  <c r="L16" i="4"/>
  <c r="N19" i="7"/>
  <c r="L25" i="4"/>
  <c r="N28" i="7"/>
  <c r="L98" i="4"/>
  <c r="N101" i="7"/>
  <c r="L32" i="4"/>
  <c r="N35" i="7"/>
  <c r="L47" i="4"/>
  <c r="N50" i="7"/>
  <c r="L57" i="4"/>
  <c r="N60" i="7"/>
  <c r="L5" i="4"/>
  <c r="N8" i="7"/>
  <c r="N111" i="2"/>
  <c r="L31" i="5"/>
  <c r="L33" i="5"/>
  <c r="L23" i="5"/>
  <c r="L2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Hinshu Joshi</author>
  </authors>
  <commentList>
    <comment ref="O27" authorId="0" shapeId="0" xr:uid="{88DCC6B8-A6F7-40C3-AA17-A78DD870DAAC}">
      <text>
        <r>
          <rPr>
            <b/>
            <sz val="9"/>
            <color indexed="81"/>
            <rFont val="Tahoma"/>
            <family val="2"/>
          </rPr>
          <t xml:space="preserve">(To be Paid)
Description Available on the Rs Worksheet.
</t>
        </r>
      </text>
    </comment>
  </commentList>
</comments>
</file>

<file path=xl/sharedStrings.xml><?xml version="1.0" encoding="utf-8"?>
<sst xmlns="http://schemas.openxmlformats.org/spreadsheetml/2006/main" count="577" uniqueCount="394">
  <si>
    <t>Table of Content</t>
  </si>
  <si>
    <t>ABREVATIONS</t>
  </si>
  <si>
    <t>FULL FORMS</t>
  </si>
  <si>
    <t>IR</t>
  </si>
  <si>
    <t>PR</t>
  </si>
  <si>
    <t>ARD</t>
  </si>
  <si>
    <t>DASHBOARD</t>
  </si>
  <si>
    <t>INVOICE RECORD</t>
  </si>
  <si>
    <t>CREDIT TRACKER</t>
  </si>
  <si>
    <t>CT</t>
  </si>
  <si>
    <t>PAYMENT REGISTER</t>
  </si>
  <si>
    <t>ACCOUNTS RECIEVALE DATA</t>
  </si>
  <si>
    <t>Customer Invoice Number</t>
  </si>
  <si>
    <t>Customer Name</t>
  </si>
  <si>
    <t>Invoice Amount (£)</t>
  </si>
  <si>
    <t>Note</t>
  </si>
  <si>
    <t>Payment Reference</t>
  </si>
  <si>
    <t>INV-2026-001</t>
  </si>
  <si>
    <t>Oliver Bennett</t>
  </si>
  <si>
    <t>Office supplies</t>
  </si>
  <si>
    <t>PAY-7001</t>
  </si>
  <si>
    <t>INV-2026-002</t>
  </si>
  <si>
    <t>Amelia Carter</t>
  </si>
  <si>
    <t>Consulting services</t>
  </si>
  <si>
    <t>PAY-7002</t>
  </si>
  <si>
    <t>INV-2026-003</t>
  </si>
  <si>
    <t>George Mitchell</t>
  </si>
  <si>
    <t>Equipment purchase</t>
  </si>
  <si>
    <t>PAY-7003</t>
  </si>
  <si>
    <t>INV-2026-004</t>
  </si>
  <si>
    <t>Isla Thompson</t>
  </si>
  <si>
    <t>Monthly subscription</t>
  </si>
  <si>
    <t>PAY-7004</t>
  </si>
  <si>
    <t>INV-2026-005</t>
  </si>
  <si>
    <t>Harry Wilson</t>
  </si>
  <si>
    <t>Project delivery</t>
  </si>
  <si>
    <t>PAY-7005</t>
  </si>
  <si>
    <t>INV-2026-006</t>
  </si>
  <si>
    <t>Ava Robinson</t>
  </si>
  <si>
    <t>Marketing services</t>
  </si>
  <si>
    <t>PAY-7006</t>
  </si>
  <si>
    <t>INV-2026-007</t>
  </si>
  <si>
    <t>Noah Walker</t>
  </si>
  <si>
    <t>Maintenance services</t>
  </si>
  <si>
    <t>PAY-7007</t>
  </si>
  <si>
    <t>INV-2026-008</t>
  </si>
  <si>
    <t>Grace Hall</t>
  </si>
  <si>
    <t>Software licence</t>
  </si>
  <si>
    <t>PAY-7008</t>
  </si>
  <si>
    <t>INV-2026-009</t>
  </si>
  <si>
    <t>Jack Young</t>
  </si>
  <si>
    <t>Stationery order</t>
  </si>
  <si>
    <t>PAY-7009</t>
  </si>
  <si>
    <t>INV-2026-010</t>
  </si>
  <si>
    <t>Lily Allen</t>
  </si>
  <si>
    <t>Training services</t>
  </si>
  <si>
    <t>PAY-7010</t>
  </si>
  <si>
    <t>INV-2026-011</t>
  </si>
  <si>
    <t>Charlie King</t>
  </si>
  <si>
    <t>PAY-7011</t>
  </si>
  <si>
    <t>INV-2026-012</t>
  </si>
  <si>
    <t>Mia Wright</t>
  </si>
  <si>
    <t>PAY-7012</t>
  </si>
  <si>
    <t>INV-2026-013</t>
  </si>
  <si>
    <t>Thomas Scott</t>
  </si>
  <si>
    <t>PAY-7013</t>
  </si>
  <si>
    <t>INV-2026-014</t>
  </si>
  <si>
    <t>Sophia Green</t>
  </si>
  <si>
    <t>PAY-7014</t>
  </si>
  <si>
    <t>INV-2026-015</t>
  </si>
  <si>
    <t>Oscar Baker</t>
  </si>
  <si>
    <t>PAY-7015</t>
  </si>
  <si>
    <t>INV-2026-016</t>
  </si>
  <si>
    <t>Emily Adams</t>
  </si>
  <si>
    <t>PAY-7016</t>
  </si>
  <si>
    <t>INV-2026-017</t>
  </si>
  <si>
    <t>William Nelson</t>
  </si>
  <si>
    <t>PAY-7017</t>
  </si>
  <si>
    <t>INV-2026-018</t>
  </si>
  <si>
    <t>Ella Hill</t>
  </si>
  <si>
    <t>PAY-7018</t>
  </si>
  <si>
    <t>INV-2026-019</t>
  </si>
  <si>
    <t>James Lewis</t>
  </si>
  <si>
    <t>PAY-7019</t>
  </si>
  <si>
    <t>INV-2026-020</t>
  </si>
  <si>
    <t>Freya Clark</t>
  </si>
  <si>
    <t>PAY-7020</t>
  </si>
  <si>
    <t>INV-2026-021</t>
  </si>
  <si>
    <t>Henry Lewis</t>
  </si>
  <si>
    <t>PAY-7021</t>
  </si>
  <si>
    <t>INV-2026-022</t>
  </si>
  <si>
    <t>Poppy Robinson</t>
  </si>
  <si>
    <t>PAY-7022</t>
  </si>
  <si>
    <t>INV-2026-023</t>
  </si>
  <si>
    <t>Alfie Walker</t>
  </si>
  <si>
    <t>PAY-7023</t>
  </si>
  <si>
    <t>INV-2026-024</t>
  </si>
  <si>
    <t>Evie Hall</t>
  </si>
  <si>
    <t>PAY-7024</t>
  </si>
  <si>
    <t>INV-2026-025</t>
  </si>
  <si>
    <t>Leo Young</t>
  </si>
  <si>
    <t>PAY-7025</t>
  </si>
  <si>
    <t>INV-2026-026</t>
  </si>
  <si>
    <t>Florence King</t>
  </si>
  <si>
    <t>PAY-7026</t>
  </si>
  <si>
    <t>INV-2026-027</t>
  </si>
  <si>
    <t>Archie Wright</t>
  </si>
  <si>
    <t>PAY-7027</t>
  </si>
  <si>
    <t>INV-2026-028</t>
  </si>
  <si>
    <t>Ivy Scott</t>
  </si>
  <si>
    <t>PAY-7028</t>
  </si>
  <si>
    <t>INV-2026-029</t>
  </si>
  <si>
    <t>Freddie Green</t>
  </si>
  <si>
    <t>PAY-7029</t>
  </si>
  <si>
    <t>INV-2026-030</t>
  </si>
  <si>
    <t>Elsie Baker</t>
  </si>
  <si>
    <t>PAY-7030</t>
  </si>
  <si>
    <t>INV-2026-031</t>
  </si>
  <si>
    <t>Ethan Adams</t>
  </si>
  <si>
    <t>PAY-7031</t>
  </si>
  <si>
    <t>INV-2026-032</t>
  </si>
  <si>
    <t>Ruby Nelson</t>
  </si>
  <si>
    <t>PAY-7032</t>
  </si>
  <si>
    <t>INV-2026-033</t>
  </si>
  <si>
    <t>Lucas Hill</t>
  </si>
  <si>
    <t>PAY-7033</t>
  </si>
  <si>
    <t>INV-2026-034</t>
  </si>
  <si>
    <t>Daisy Lewis</t>
  </si>
  <si>
    <t>PAY-7034</t>
  </si>
  <si>
    <t>INV-2026-035</t>
  </si>
  <si>
    <t>Finley Clark</t>
  </si>
  <si>
    <t>PAY-7035</t>
  </si>
  <si>
    <t>INV-2026-036</t>
  </si>
  <si>
    <t>Chloe Mitchell</t>
  </si>
  <si>
    <t>PAY-7036</t>
  </si>
  <si>
    <t>INV-2026-037</t>
  </si>
  <si>
    <t>Mason Thompson</t>
  </si>
  <si>
    <t>PAY-7037</t>
  </si>
  <si>
    <t>INV-2026-038</t>
  </si>
  <si>
    <t>Sophie Wilson</t>
  </si>
  <si>
    <t>PAY-7038</t>
  </si>
  <si>
    <t>INV-2026-039</t>
  </si>
  <si>
    <t>Teddy Carter</t>
  </si>
  <si>
    <t>PAY-7039</t>
  </si>
  <si>
    <t>INV-2026-040</t>
  </si>
  <si>
    <t>Millie Bennett</t>
  </si>
  <si>
    <t>PAY-7040</t>
  </si>
  <si>
    <t>INV-2026-041</t>
  </si>
  <si>
    <t>Benjamin Harris</t>
  </si>
  <si>
    <t>PAY-7041</t>
  </si>
  <si>
    <t>INV-2026-042</t>
  </si>
  <si>
    <t>Aria Martin</t>
  </si>
  <si>
    <t>PAY-7042</t>
  </si>
  <si>
    <t>INV-2026-043</t>
  </si>
  <si>
    <t>Daniel Moore</t>
  </si>
  <si>
    <t>PAY-7043</t>
  </si>
  <si>
    <t>INV-2026-044</t>
  </si>
  <si>
    <t>Maisie Taylor</t>
  </si>
  <si>
    <t>PAY-7044</t>
  </si>
  <si>
    <t>INV-2026-045</t>
  </si>
  <si>
    <t>Samuel Anderson</t>
  </si>
  <si>
    <t>PAY-7045</t>
  </si>
  <si>
    <t>INV-2026-046</t>
  </si>
  <si>
    <t>Sienna Thomas</t>
  </si>
  <si>
    <t>PAY-7046</t>
  </si>
  <si>
    <t>INV-2026-047</t>
  </si>
  <si>
    <t>Joseph Jackson</t>
  </si>
  <si>
    <t>PAY-7047</t>
  </si>
  <si>
    <t>INV-2026-048</t>
  </si>
  <si>
    <t>Phoebe White</t>
  </si>
  <si>
    <t>PAY-7048</t>
  </si>
  <si>
    <t>INV-2026-049</t>
  </si>
  <si>
    <t>Alexander Harris</t>
  </si>
  <si>
    <t>PAY-7049</t>
  </si>
  <si>
    <t>INV-2026-050</t>
  </si>
  <si>
    <t>Matilda Martin</t>
  </si>
  <si>
    <t>PAY-7050</t>
  </si>
  <si>
    <t>INV-2026-051</t>
  </si>
  <si>
    <t>Sebastian Moore</t>
  </si>
  <si>
    <t>PAY-7051</t>
  </si>
  <si>
    <t>INV-2026-052</t>
  </si>
  <si>
    <t>Harper Taylor</t>
  </si>
  <si>
    <t>PAY-7052</t>
  </si>
  <si>
    <t>INV-2026-053</t>
  </si>
  <si>
    <t>Dylan Anderson</t>
  </si>
  <si>
    <t>PAY-7053</t>
  </si>
  <si>
    <t>INV-2026-054</t>
  </si>
  <si>
    <t>Violet Thomas</t>
  </si>
  <si>
    <t>PAY-7054</t>
  </si>
  <si>
    <t>INV-2026-055</t>
  </si>
  <si>
    <t>Adam Jackson</t>
  </si>
  <si>
    <t>PAY-7055</t>
  </si>
  <si>
    <t>INV-2026-056</t>
  </si>
  <si>
    <t>Esme White</t>
  </si>
  <si>
    <t>PAY-7056</t>
  </si>
  <si>
    <t>INV-2026-057</t>
  </si>
  <si>
    <t>Ryan Harris</t>
  </si>
  <si>
    <t>PAY-7057</t>
  </si>
  <si>
    <t>INV-2026-058</t>
  </si>
  <si>
    <t>Willow Martin</t>
  </si>
  <si>
    <t>PAY-7058</t>
  </si>
  <si>
    <t>INV-2026-059</t>
  </si>
  <si>
    <t>Nathan Moore</t>
  </si>
  <si>
    <t>PAY-7059</t>
  </si>
  <si>
    <t>INV-2026-060</t>
  </si>
  <si>
    <t>Luna Taylor</t>
  </si>
  <si>
    <t>PAY-7060</t>
  </si>
  <si>
    <t>INV-2026-061</t>
  </si>
  <si>
    <t>Isaac Anderson</t>
  </si>
  <si>
    <t>PAY-7061</t>
  </si>
  <si>
    <t>INV-2026-062</t>
  </si>
  <si>
    <t>Erin Thomas</t>
  </si>
  <si>
    <t>PAY-7062</t>
  </si>
  <si>
    <t>INV-2026-063</t>
  </si>
  <si>
    <t>Caleb Jackson</t>
  </si>
  <si>
    <t>PAY-7063</t>
  </si>
  <si>
    <t>INV-2026-064</t>
  </si>
  <si>
    <t>Georgia White</t>
  </si>
  <si>
    <t>PAY-7064</t>
  </si>
  <si>
    <t>INV-2026-065</t>
  </si>
  <si>
    <t>Aaron Harris</t>
  </si>
  <si>
    <t>PAY-7065</t>
  </si>
  <si>
    <t>INV-2026-066</t>
  </si>
  <si>
    <t>Holly Martin</t>
  </si>
  <si>
    <t>PAY-7066</t>
  </si>
  <si>
    <t>INV-2026-067</t>
  </si>
  <si>
    <t>Connor Moore</t>
  </si>
  <si>
    <t>PAY-7067</t>
  </si>
  <si>
    <t>INV-2026-068</t>
  </si>
  <si>
    <t>Megan Taylor</t>
  </si>
  <si>
    <t>PAY-7068</t>
  </si>
  <si>
    <t>INV-2026-069</t>
  </si>
  <si>
    <t>Reuben Anderson</t>
  </si>
  <si>
    <t>PAY-7069</t>
  </si>
  <si>
    <t>INV-2026-070</t>
  </si>
  <si>
    <t>Imogen Thomas</t>
  </si>
  <si>
    <t>PAY-7070</t>
  </si>
  <si>
    <t>INV-2026-071</t>
  </si>
  <si>
    <t>David Jackson</t>
  </si>
  <si>
    <t>PAY-7071</t>
  </si>
  <si>
    <t>INV-2026-072</t>
  </si>
  <si>
    <t>Arabella White</t>
  </si>
  <si>
    <t>PAY-7072</t>
  </si>
  <si>
    <t>INV-2026-073</t>
  </si>
  <si>
    <t>Michael Harris</t>
  </si>
  <si>
    <t>PAY-7073</t>
  </si>
  <si>
    <t>INV-2026-074</t>
  </si>
  <si>
    <t>Eliza Martin</t>
  </si>
  <si>
    <t>PAY-7074</t>
  </si>
  <si>
    <t>INV-2026-075</t>
  </si>
  <si>
    <t>Christopher Moore</t>
  </si>
  <si>
    <t>PAY-7075</t>
  </si>
  <si>
    <t>INV-2026-076</t>
  </si>
  <si>
    <t>Clara Taylor</t>
  </si>
  <si>
    <t>PAY-7076</t>
  </si>
  <si>
    <t>INV-2026-077</t>
  </si>
  <si>
    <t>Jonathan Anderson</t>
  </si>
  <si>
    <t>PAY-7077</t>
  </si>
  <si>
    <t>INV-2026-078</t>
  </si>
  <si>
    <t>Amber Thomas</t>
  </si>
  <si>
    <t>PAY-7078</t>
  </si>
  <si>
    <t>INV-2026-079</t>
  </si>
  <si>
    <t>Robert Jackson</t>
  </si>
  <si>
    <t>PAY-7079</t>
  </si>
  <si>
    <t>INV-2026-080</t>
  </si>
  <si>
    <t>Beatrice White</t>
  </si>
  <si>
    <t>PAY-7080</t>
  </si>
  <si>
    <t>INV-2026-081</t>
  </si>
  <si>
    <t>Louis Harris</t>
  </si>
  <si>
    <t>PAY-7081</t>
  </si>
  <si>
    <t>INV-2026-082</t>
  </si>
  <si>
    <t>Orla Martin</t>
  </si>
  <si>
    <t>PAY-7082</t>
  </si>
  <si>
    <t>INV-2026-083</t>
  </si>
  <si>
    <t>Edward Moore</t>
  </si>
  <si>
    <t>PAY-7083</t>
  </si>
  <si>
    <t>INV-2026-084</t>
  </si>
  <si>
    <t>Nancy Taylor</t>
  </si>
  <si>
    <t>PAY-7084</t>
  </si>
  <si>
    <t>INV-2026-085</t>
  </si>
  <si>
    <t>Gabriel Anderson</t>
  </si>
  <si>
    <t>PAY-7085</t>
  </si>
  <si>
    <t>INV-2026-086</t>
  </si>
  <si>
    <t>Martha Thomas</t>
  </si>
  <si>
    <t>PAY-7086</t>
  </si>
  <si>
    <t>INV-2026-087</t>
  </si>
  <si>
    <t>Patrick Jackson</t>
  </si>
  <si>
    <t>PAY-7087</t>
  </si>
  <si>
    <t>INV-2026-088</t>
  </si>
  <si>
    <t>Rose White</t>
  </si>
  <si>
    <t>PAY-7088</t>
  </si>
  <si>
    <t>INV-2026-089</t>
  </si>
  <si>
    <t>Andrew Harris</t>
  </si>
  <si>
    <t>PAY-7089</t>
  </si>
  <si>
    <t>INV-2026-090</t>
  </si>
  <si>
    <t>Edith Martin</t>
  </si>
  <si>
    <t>PAY-7090</t>
  </si>
  <si>
    <t>INV-2026-091</t>
  </si>
  <si>
    <t>Matthew Moore</t>
  </si>
  <si>
    <t>PAY-7091</t>
  </si>
  <si>
    <t>INV-2026-092</t>
  </si>
  <si>
    <t>Sarah Taylor</t>
  </si>
  <si>
    <t>PAY-7092</t>
  </si>
  <si>
    <t>INV-2026-093</t>
  </si>
  <si>
    <t>Anthony Anderson</t>
  </si>
  <si>
    <t>PAY-7093</t>
  </si>
  <si>
    <t>INV-2026-094</t>
  </si>
  <si>
    <t>Jane Thomas</t>
  </si>
  <si>
    <t>PAY-7094</t>
  </si>
  <si>
    <t>INV-2026-095</t>
  </si>
  <si>
    <t>Peter Jackson</t>
  </si>
  <si>
    <t>PAY-7095</t>
  </si>
  <si>
    <t>INV-2026-096</t>
  </si>
  <si>
    <t>Lucy White</t>
  </si>
  <si>
    <t>PAY-7096</t>
  </si>
  <si>
    <t>INV-2026-097</t>
  </si>
  <si>
    <t>Stephen Harris</t>
  </si>
  <si>
    <t>PAY-7097</t>
  </si>
  <si>
    <t>INV-2026-098</t>
  </si>
  <si>
    <t>Anna Martin</t>
  </si>
  <si>
    <t>PAY-7098</t>
  </si>
  <si>
    <t>INV-2026-099</t>
  </si>
  <si>
    <t>Timothy Moore</t>
  </si>
  <si>
    <t>PAY-7099</t>
  </si>
  <si>
    <t>INV-2026-100</t>
  </si>
  <si>
    <t>Victoria Taylor</t>
  </si>
  <si>
    <t>PAY-7100</t>
  </si>
  <si>
    <t>Column1</t>
  </si>
  <si>
    <t xml:space="preserve">S.NO </t>
  </si>
  <si>
    <t>PAYMENT REGISTRY</t>
  </si>
  <si>
    <t>S.NO</t>
  </si>
  <si>
    <t>Accounts Recievable Tracker</t>
  </si>
  <si>
    <t>S.no</t>
  </si>
  <si>
    <t>Invoice Number</t>
  </si>
  <si>
    <t>Accounts Recievable Days</t>
  </si>
  <si>
    <t>Outstanding Amount</t>
  </si>
  <si>
    <t>Payment Note</t>
  </si>
  <si>
    <t>Credit Terms (Days)</t>
  </si>
  <si>
    <t>Days</t>
  </si>
  <si>
    <t>% Charge</t>
  </si>
  <si>
    <t>Deposit Amount</t>
  </si>
  <si>
    <t>Date of Invoice</t>
  </si>
  <si>
    <t>Date of invoice</t>
  </si>
  <si>
    <t>Invoice Amount</t>
  </si>
  <si>
    <t>Amounts Paid</t>
  </si>
  <si>
    <t>Due Days</t>
  </si>
  <si>
    <t>Payment Refence</t>
  </si>
  <si>
    <t>Input Amount (If paid)</t>
  </si>
  <si>
    <t>Days Of Credit</t>
  </si>
  <si>
    <t>Credit Terms</t>
  </si>
  <si>
    <t>Date of Deposit</t>
  </si>
  <si>
    <t xml:space="preserve">Total Invoice </t>
  </si>
  <si>
    <t>Total Invoice Amount</t>
  </si>
  <si>
    <t>Average Invoice Amount</t>
  </si>
  <si>
    <t>Minimum Invoice Amount</t>
  </si>
  <si>
    <t>Maximum Invoice Amount</t>
  </si>
  <si>
    <t xml:space="preserve">Total Amount </t>
  </si>
  <si>
    <t>Total Deposit Amount</t>
  </si>
  <si>
    <t>Total Outstanding Amount</t>
  </si>
  <si>
    <t>Average Amount</t>
  </si>
  <si>
    <t>Minimum Amount</t>
  </si>
  <si>
    <t>Maximum Amount</t>
  </si>
  <si>
    <t>Row Labels</t>
  </si>
  <si>
    <t>Grand Total</t>
  </si>
  <si>
    <t>Sum of Deposit Amount</t>
  </si>
  <si>
    <t>Sum of Outstanding Amount</t>
  </si>
  <si>
    <t>Sum of Amounts Paid</t>
  </si>
  <si>
    <t>Count of Invoice Number</t>
  </si>
  <si>
    <t>Note*</t>
  </si>
  <si>
    <t xml:space="preserve">register under Input amount. So that the model can recalculate all </t>
  </si>
  <si>
    <t xml:space="preserve">If there is an amount that needs to be added just add onto the Payment </t>
  </si>
  <si>
    <t xml:space="preserve">This model also has a limited date span so inorder to add more in voices </t>
  </si>
  <si>
    <t>as well as dates do put onto a separate coloums</t>
  </si>
  <si>
    <t>the other transactions and amounts simultaneiously.</t>
  </si>
  <si>
    <r>
      <t xml:space="preserve">The </t>
    </r>
    <r>
      <rPr>
        <b/>
        <sz val="11"/>
        <color theme="1"/>
        <rFont val="Calibri"/>
        <family val="2"/>
        <scheme val="minor"/>
      </rPr>
      <t xml:space="preserve">date of deposit </t>
    </r>
    <r>
      <rPr>
        <sz val="11"/>
        <color theme="1"/>
        <rFont val="Calibri"/>
        <family val="2"/>
        <scheme val="minor"/>
      </rPr>
      <t xml:space="preserve"> is hard coded as the model assumes that the payer  </t>
    </r>
  </si>
  <si>
    <t>has paid the amount In one or 2 working days.</t>
  </si>
  <si>
    <r>
      <t xml:space="preserve">This model Assumes that the payments of the clients are paid in advance for </t>
    </r>
    <r>
      <rPr>
        <b/>
        <sz val="11"/>
        <color theme="1"/>
        <rFont val="Calibri"/>
        <family val="2"/>
        <scheme val="minor"/>
      </rPr>
      <t>50%.</t>
    </r>
  </si>
  <si>
    <r>
      <t xml:space="preserve">At </t>
    </r>
    <r>
      <rPr>
        <b/>
        <sz val="11"/>
        <color theme="1"/>
        <rFont val="Calibri"/>
        <family val="2"/>
        <scheme val="minor"/>
      </rPr>
      <t>31 days</t>
    </r>
    <r>
      <rPr>
        <sz val="11"/>
        <color theme="1"/>
        <rFont val="Calibri"/>
        <family val="2"/>
        <scheme val="minor"/>
      </rPr>
      <t xml:space="preserve"> the sheet shows 1 day overdue but still charges nothing it charges</t>
    </r>
  </si>
  <si>
    <r>
      <t xml:space="preserve">late due on </t>
    </r>
    <r>
      <rPr>
        <b/>
        <sz val="11"/>
        <color theme="1"/>
        <rFont val="Calibri"/>
        <family val="2"/>
        <scheme val="minor"/>
      </rPr>
      <t>32 day.</t>
    </r>
  </si>
  <si>
    <t>Accounts Recievable Summary</t>
  </si>
  <si>
    <t>Paid</t>
  </si>
  <si>
    <t>Unpaid</t>
  </si>
  <si>
    <t>Due</t>
  </si>
  <si>
    <t>RS</t>
  </si>
  <si>
    <t>Recievable Summary</t>
  </si>
  <si>
    <t>Status</t>
  </si>
  <si>
    <t xml:space="preserve">Status </t>
  </si>
  <si>
    <t>Status Code</t>
  </si>
  <si>
    <t>P</t>
  </si>
  <si>
    <t>D</t>
  </si>
  <si>
    <t>U</t>
  </si>
  <si>
    <t>Overpaid Amount</t>
  </si>
  <si>
    <t>To be Paid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</si>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</sst>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£-809]* #,##0.00_-;\-[$£-809]* #,##0.00_-;_-[$£-809]* &quot;-&quot;??_-;_-@_-"/>
    <numFmt numFmtId="165" formatCode="#,##0;\(#,##0\)"/>
    <numFmt numFmtId="166" formatCode="[$GBP]\ #,##0.00;[Red][$GBP]\ \-#,##0.00"/>
    <numFmt numFmtId="167" formatCode="[$£-809]#,##0.00;[Red]\-[$£-809]#,##0.00"/>
    <numFmt numFmtId="168" formatCode="[$£-809]#,##0.00;[Red][$£-809]#,##0.00"/>
    <numFmt numFmtId="169" formatCode="_-[$£-809]* #,##0_-;\-[$£-809]* #,##0_-;_-[$£-809]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24"/>
      <color theme="10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28"/>
      <color theme="10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double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16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Border="1"/>
    <xf numFmtId="164" fontId="0" fillId="0" borderId="0" xfId="0" applyNumberFormat="1" applyBorder="1"/>
    <xf numFmtId="0" fontId="0" fillId="0" borderId="10" xfId="0" applyBorder="1"/>
    <xf numFmtId="0" fontId="0" fillId="0" borderId="11" xfId="0" applyBorder="1"/>
    <xf numFmtId="164" fontId="0" fillId="0" borderId="0" xfId="0" applyNumberFormat="1" applyAlignment="1">
      <alignment horizontal="right" vertical="center" wrapText="1"/>
    </xf>
    <xf numFmtId="14" fontId="0" fillId="0" borderId="0" xfId="0" applyNumberFormat="1" applyBorder="1"/>
    <xf numFmtId="0" fontId="1" fillId="3" borderId="0" xfId="0" applyFont="1" applyFill="1" applyBorder="1"/>
    <xf numFmtId="0" fontId="2" fillId="0" borderId="4" xfId="0" applyFont="1" applyBorder="1"/>
    <xf numFmtId="164" fontId="0" fillId="0" borderId="0" xfId="0" applyNumberFormat="1"/>
    <xf numFmtId="164" fontId="8" fillId="5" borderId="0" xfId="0" applyNumberFormat="1" applyFont="1" applyFill="1" applyBorder="1"/>
    <xf numFmtId="14" fontId="0" fillId="0" borderId="0" xfId="0" applyNumberFormat="1"/>
    <xf numFmtId="0" fontId="0" fillId="0" borderId="0" xfId="0" applyFill="1" applyBorder="1"/>
    <xf numFmtId="0" fontId="1" fillId="3" borderId="0" xfId="0" applyFont="1" applyFill="1" applyBorder="1" applyAlignment="1"/>
    <xf numFmtId="164" fontId="2" fillId="0" borderId="0" xfId="0" applyNumberFormat="1" applyFont="1" applyBorder="1"/>
    <xf numFmtId="14" fontId="2" fillId="0" borderId="0" xfId="0" applyNumberFormat="1" applyFont="1" applyBorder="1"/>
    <xf numFmtId="0" fontId="2" fillId="0" borderId="4" xfId="0" applyFont="1" applyBorder="1" applyAlignment="1">
      <alignment horizontal="center" vertical="center"/>
    </xf>
    <xf numFmtId="164" fontId="8" fillId="5" borderId="7" xfId="0" applyNumberFormat="1" applyFont="1" applyFill="1" applyBorder="1"/>
    <xf numFmtId="14" fontId="2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Border="1"/>
    <xf numFmtId="9" fontId="1" fillId="3" borderId="3" xfId="2" applyFont="1" applyFill="1" applyBorder="1"/>
    <xf numFmtId="2" fontId="1" fillId="3" borderId="9" xfId="0" applyNumberFormat="1" applyFont="1" applyFill="1" applyBorder="1" applyAlignment="1">
      <alignment horizontal="right"/>
    </xf>
    <xf numFmtId="1" fontId="0" fillId="0" borderId="10" xfId="0" applyNumberFormat="1" applyBorder="1"/>
    <xf numFmtId="1" fontId="0" fillId="0" borderId="11" xfId="0" applyNumberFormat="1" applyBorder="1"/>
    <xf numFmtId="9" fontId="2" fillId="0" borderId="5" xfId="0" applyNumberFormat="1" applyFont="1" applyBorder="1"/>
    <xf numFmtId="9" fontId="2" fillId="0" borderId="5" xfId="2" applyFont="1" applyBorder="1"/>
    <xf numFmtId="9" fontId="2" fillId="0" borderId="8" xfId="2" applyFont="1" applyBorder="1"/>
    <xf numFmtId="0" fontId="0" fillId="0" borderId="0" xfId="0" applyNumberFormat="1"/>
    <xf numFmtId="1" fontId="0" fillId="0" borderId="12" xfId="0" applyNumberFormat="1" applyBorder="1"/>
    <xf numFmtId="164" fontId="8" fillId="5" borderId="0" xfId="0" applyNumberFormat="1" applyFont="1" applyFill="1"/>
    <xf numFmtId="1" fontId="0" fillId="0" borderId="0" xfId="0" applyNumberFormat="1"/>
    <xf numFmtId="165" fontId="0" fillId="0" borderId="0" xfId="0" applyNumberFormat="1"/>
    <xf numFmtId="167" fontId="0" fillId="0" borderId="0" xfId="0" applyNumberFormat="1"/>
    <xf numFmtId="166" fontId="8" fillId="0" borderId="0" xfId="0" applyNumberFormat="1" applyFont="1"/>
    <xf numFmtId="165" fontId="0" fillId="0" borderId="0" xfId="0" applyNumberFormat="1" applyFill="1"/>
    <xf numFmtId="166" fontId="8" fillId="0" borderId="0" xfId="0" applyNumberFormat="1" applyFont="1" applyFill="1"/>
    <xf numFmtId="0" fontId="0" fillId="0" borderId="0" xfId="0" applyFill="1"/>
    <xf numFmtId="168" fontId="0" fillId="0" borderId="0" xfId="0" applyNumberFormat="1"/>
    <xf numFmtId="168" fontId="0" fillId="0" borderId="0" xfId="0" applyNumberFormat="1" applyBorder="1"/>
    <xf numFmtId="168" fontId="0" fillId="0" borderId="7" xfId="0" applyNumberFormat="1" applyBorder="1"/>
    <xf numFmtId="0" fontId="2" fillId="0" borderId="15" xfId="0" applyFont="1" applyBorder="1"/>
    <xf numFmtId="0" fontId="0" fillId="7" borderId="16" xfId="0" applyFont="1" applyFill="1" applyBorder="1"/>
    <xf numFmtId="14" fontId="0" fillId="7" borderId="16" xfId="0" applyNumberFormat="1" applyFont="1" applyFill="1" applyBorder="1"/>
    <xf numFmtId="164" fontId="0" fillId="7" borderId="16" xfId="0" applyNumberFormat="1" applyFont="1" applyFill="1" applyBorder="1"/>
    <xf numFmtId="168" fontId="0" fillId="7" borderId="16" xfId="0" applyNumberFormat="1" applyFont="1" applyFill="1" applyBorder="1"/>
    <xf numFmtId="0" fontId="0" fillId="0" borderId="16" xfId="0" applyFont="1" applyBorder="1"/>
    <xf numFmtId="14" fontId="0" fillId="0" borderId="16" xfId="0" applyNumberFormat="1" applyFont="1" applyBorder="1"/>
    <xf numFmtId="164" fontId="0" fillId="0" borderId="16" xfId="0" applyNumberFormat="1" applyFont="1" applyBorder="1"/>
    <xf numFmtId="168" fontId="0" fillId="0" borderId="16" xfId="0" applyNumberFormat="1" applyFont="1" applyBorder="1"/>
    <xf numFmtId="0" fontId="0" fillId="7" borderId="16" xfId="0" applyNumberFormat="1" applyFont="1" applyFill="1" applyBorder="1"/>
    <xf numFmtId="0" fontId="0" fillId="0" borderId="16" xfId="0" applyNumberFormat="1" applyFont="1" applyBorder="1"/>
    <xf numFmtId="0" fontId="1" fillId="6" borderId="0" xfId="0" applyFont="1" applyFill="1" applyBorder="1"/>
    <xf numFmtId="14" fontId="1" fillId="6" borderId="0" xfId="0" applyNumberFormat="1" applyFont="1" applyFill="1" applyBorder="1"/>
    <xf numFmtId="164" fontId="1" fillId="6" borderId="0" xfId="0" applyNumberFormat="1" applyFont="1" applyFill="1" applyBorder="1"/>
    <xf numFmtId="0" fontId="2" fillId="0" borderId="17" xfId="0" applyFont="1" applyBorder="1"/>
    <xf numFmtId="0" fontId="1" fillId="0" borderId="0" xfId="0" applyFont="1"/>
    <xf numFmtId="0" fontId="2" fillId="0" borderId="0" xfId="0" applyFont="1"/>
    <xf numFmtId="0" fontId="2" fillId="0" borderId="0" xfId="0" applyNumberFormat="1" applyFont="1" applyBorder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0" fillId="7" borderId="18" xfId="0" applyFont="1" applyFill="1" applyBorder="1"/>
    <xf numFmtId="14" fontId="0" fillId="7" borderId="18" xfId="0" applyNumberFormat="1" applyFont="1" applyFill="1" applyBorder="1"/>
    <xf numFmtId="0" fontId="0" fillId="0" borderId="18" xfId="0" applyFont="1" applyBorder="1"/>
    <xf numFmtId="0" fontId="1" fillId="6" borderId="20" xfId="0" applyFont="1" applyFill="1" applyBorder="1"/>
    <xf numFmtId="14" fontId="1" fillId="6" borderId="20" xfId="0" applyNumberFormat="1" applyFont="1" applyFill="1" applyBorder="1"/>
    <xf numFmtId="164" fontId="1" fillId="6" borderId="20" xfId="0" applyNumberFormat="1" applyFont="1" applyFill="1" applyBorder="1"/>
    <xf numFmtId="0" fontId="0" fillId="7" borderId="10" xfId="0" applyFont="1" applyFill="1" applyBorder="1"/>
    <xf numFmtId="0" fontId="0" fillId="7" borderId="11" xfId="0" applyFont="1" applyFill="1" applyBorder="1"/>
    <xf numFmtId="0" fontId="1" fillId="6" borderId="23" xfId="0" applyFont="1" applyFill="1" applyBorder="1"/>
    <xf numFmtId="0" fontId="0" fillId="7" borderId="21" xfId="0" applyFont="1" applyFill="1" applyBorder="1"/>
    <xf numFmtId="0" fontId="0" fillId="7" borderId="22" xfId="0" applyFont="1" applyFill="1" applyBorder="1"/>
    <xf numFmtId="0" fontId="2" fillId="0" borderId="6" xfId="0" applyFont="1" applyFill="1" applyBorder="1"/>
    <xf numFmtId="0" fontId="0" fillId="7" borderId="19" xfId="0" applyNumberFormat="1" applyFont="1" applyFill="1" applyBorder="1" applyAlignment="1">
      <alignment horizontal="center" vertical="center"/>
    </xf>
    <xf numFmtId="0" fontId="1" fillId="6" borderId="24" xfId="0" applyFont="1" applyFill="1" applyBorder="1"/>
    <xf numFmtId="165" fontId="0" fillId="7" borderId="0" xfId="0" applyNumberFormat="1" applyFont="1" applyFill="1" applyBorder="1"/>
    <xf numFmtId="165" fontId="0" fillId="7" borderId="7" xfId="0" applyNumberFormat="1" applyFont="1" applyFill="1" applyBorder="1"/>
    <xf numFmtId="165" fontId="0" fillId="7" borderId="0" xfId="0" applyNumberFormat="1" applyFont="1" applyFill="1"/>
    <xf numFmtId="0" fontId="1" fillId="3" borderId="13" xfId="0" applyFont="1" applyFill="1" applyBorder="1"/>
    <xf numFmtId="0" fontId="1" fillId="3" borderId="14" xfId="0" applyFont="1" applyFill="1" applyBorder="1"/>
    <xf numFmtId="0" fontId="2" fillId="4" borderId="5" xfId="0" applyFont="1" applyFill="1" applyBorder="1"/>
    <xf numFmtId="0" fontId="2" fillId="4" borderId="8" xfId="0" applyFont="1" applyFill="1" applyBorder="1"/>
    <xf numFmtId="167" fontId="1" fillId="0" borderId="4" xfId="0" applyNumberFormat="1" applyFont="1" applyBorder="1"/>
    <xf numFmtId="0" fontId="1" fillId="0" borderId="0" xfId="0" applyFont="1" applyBorder="1"/>
    <xf numFmtId="0" fontId="1" fillId="0" borderId="4" xfId="0" applyFont="1" applyBorder="1"/>
    <xf numFmtId="1" fontId="0" fillId="0" borderId="0" xfId="0" applyNumberFormat="1" applyBorder="1"/>
    <xf numFmtId="164" fontId="1" fillId="0" borderId="4" xfId="0" applyNumberFormat="1" applyFont="1" applyBorder="1"/>
    <xf numFmtId="169" fontId="2" fillId="0" borderId="0" xfId="0" applyNumberFormat="1" applyFont="1" applyBorder="1"/>
    <xf numFmtId="164" fontId="1" fillId="0" borderId="0" xfId="0" applyNumberFormat="1" applyFont="1" applyBorder="1"/>
    <xf numFmtId="1" fontId="2" fillId="0" borderId="0" xfId="0" applyNumberFormat="1" applyFont="1" applyBorder="1"/>
    <xf numFmtId="9" fontId="2" fillId="4" borderId="8" xfId="2" applyFont="1" applyFill="1" applyBorder="1"/>
    <xf numFmtId="0" fontId="12" fillId="0" borderId="0" xfId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0" fillId="0" borderId="10" xfId="0" applyNumberFormat="1" applyBorder="1"/>
    <xf numFmtId="0" fontId="0" fillId="0" borderId="11" xfId="0" applyNumberFormat="1" applyBorder="1"/>
    <xf numFmtId="0" fontId="0" fillId="0" borderId="11" xfId="0" pivotButton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" fontId="0" fillId="0" borderId="5" xfId="0" applyNumberFormat="1" applyBorder="1"/>
    <xf numFmtId="1" fontId="0" fillId="0" borderId="7" xfId="0" applyNumberFormat="1" applyBorder="1"/>
    <xf numFmtId="1" fontId="0" fillId="0" borderId="8" xfId="0" applyNumberFormat="1" applyBorder="1"/>
    <xf numFmtId="1" fontId="0" fillId="0" borderId="4" xfId="0" applyNumberFormat="1" applyBorder="1"/>
    <xf numFmtId="1" fontId="0" fillId="0" borderId="6" xfId="0" applyNumberFormat="1" applyBorder="1"/>
  </cellXfs>
  <cellStyles count="3">
    <cellStyle name="Hyperlink" xfId="1" builtinId="8"/>
    <cellStyle name="Normal" xfId="0" builtinId="0"/>
    <cellStyle name="Percent" xfId="2" builtinId="5"/>
  </cellStyles>
  <dxfs count="1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;\(#,##0\)"/>
      <fill>
        <patternFill patternType="solid">
          <fgColor theme="0" tint="-0.14999847407452621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medium">
          <color indexed="64"/>
        </right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1"/>
        </left>
        <right style="thin">
          <color theme="4" tint="0.39997558519241921"/>
        </right>
        <top style="thin">
          <color theme="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numFmt numFmtId="1" formatCode="0"/>
    </dxf>
    <dxf>
      <numFmt numFmtId="164" formatCode="_-[$£-809]* #,##0.00_-;\-[$£-809]* #,##0.00_-;_-[$£-809]* &quot;-&quot;??_-;_-@_-"/>
    </dxf>
    <dxf>
      <numFmt numFmtId="1" formatCode="0"/>
    </dxf>
    <dxf>
      <numFmt numFmtId="1" formatCode="0"/>
    </dxf>
    <dxf>
      <numFmt numFmtId="168" formatCode="[$£-809]#,##0.00;[Red][$£-809]#,##0.00"/>
    </dxf>
    <dxf>
      <numFmt numFmtId="168" formatCode="[$£-809]#,##0.00;[Red][$£-809]#,##0.00"/>
    </dxf>
    <dxf>
      <numFmt numFmtId="167" formatCode="[$£-809]#,##0.00;[Red]\-[$£-809]#,##0.00"/>
    </dxf>
    <dxf>
      <numFmt numFmtId="164" formatCode="_-[$£-809]* #,##0.00_-;\-[$£-809]* #,##0.00_-;_-[$£-809]* &quot;-&quot;??_-;_-@_-"/>
      <border diagonalUp="0" diagonalDown="0" outline="0">
        <left/>
        <right/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 outline="0">
        <left/>
        <right/>
        <top/>
        <bottom/>
      </border>
    </dxf>
    <dxf>
      <font>
        <b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border diagonalUp="0" diagonalDown="0" outline="0">
        <left/>
        <right/>
        <top/>
        <bottom/>
      </border>
    </dxf>
    <dxf>
      <font>
        <b/>
      </font>
      <numFmt numFmtId="0" formatCode="General"/>
    </dxf>
    <dxf>
      <numFmt numFmtId="164" formatCode="_-[$£-809]* #,##0.00_-;\-[$£-809]* #,##0.00_-;_-[$£-809]* &quot;-&quot;??_-;_-@_-"/>
      <border diagonalUp="0" diagonalDown="0" outline="0">
        <left/>
        <right/>
        <top/>
        <bottom/>
      </border>
    </dxf>
    <dxf>
      <numFmt numFmtId="19" formatCode="dd/mm/yyyy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numFmt numFmtId="0" formatCode="General"/>
      <border diagonalUp="0" diagonalDown="0" outline="0">
        <left/>
        <right/>
        <top/>
        <bottom/>
      </border>
    </dxf>
    <dxf>
      <numFmt numFmtId="0" formatCode="General"/>
    </dxf>
    <dxf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numFmt numFmtId="168" formatCode="[$£-809]#,##0.00;[Red][$£-809]#,##0.00"/>
    </dxf>
    <dxf>
      <numFmt numFmtId="168" formatCode="[$£-809]#,##0.00;[Red][$£-809]#,##0.00"/>
    </dxf>
    <dxf>
      <numFmt numFmtId="168" formatCode="[$£-809]#,##0.00;[Red][$£-809]#,##0.0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border outline="0">
        <left style="medium">
          <color indexed="64"/>
        </left>
      </border>
    </dxf>
    <dxf>
      <font>
        <b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[$£-809]#,##0.00;[Red][$£-809]#,##0.00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double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_-[$£-809]* #,##0.00_-;\-[$£-809]* #,##0.00_-;_-[$£-809]* &quot;-&quot;??_-;_-@_-"/>
      <alignment horizontal="right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" formatCode="0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 Recievable Project.xlsx]DASHBOARD!PivotTable4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DASHBOARD!$K$8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DASHBOARD!$J$9:$J$19</c:f>
              <c:strCache>
                <c:ptCount val="10"/>
                <c:pt idx="0">
                  <c:v>Consulting services</c:v>
                </c:pt>
                <c:pt idx="1">
                  <c:v>Equipment purchase</c:v>
                </c:pt>
                <c:pt idx="2">
                  <c:v>Maintenance services</c:v>
                </c:pt>
                <c:pt idx="3">
                  <c:v>Marketing services</c:v>
                </c:pt>
                <c:pt idx="4">
                  <c:v>Monthly subscription</c:v>
                </c:pt>
                <c:pt idx="5">
                  <c:v>Office supplies</c:v>
                </c:pt>
                <c:pt idx="6">
                  <c:v>Project delivery</c:v>
                </c:pt>
                <c:pt idx="7">
                  <c:v>Software licence</c:v>
                </c:pt>
                <c:pt idx="8">
                  <c:v>Stationery order</c:v>
                </c:pt>
                <c:pt idx="9">
                  <c:v>Training services</c:v>
                </c:pt>
              </c:strCache>
            </c:strRef>
          </c:cat>
          <c:val>
            <c:numRef>
              <c:f>DASHBOARD!$K$9:$K$19</c:f>
              <c:numCache>
                <c:formatCode>0</c:formatCode>
                <c:ptCount val="10"/>
                <c:pt idx="0">
                  <c:v>7511.625</c:v>
                </c:pt>
                <c:pt idx="1">
                  <c:v>8698.375</c:v>
                </c:pt>
                <c:pt idx="2">
                  <c:v>3451.125</c:v>
                </c:pt>
                <c:pt idx="3">
                  <c:v>5351.5249999999996</c:v>
                </c:pt>
                <c:pt idx="4">
                  <c:v>5056</c:v>
                </c:pt>
                <c:pt idx="5">
                  <c:v>4443.375</c:v>
                </c:pt>
                <c:pt idx="6">
                  <c:v>7191.0249999999996</c:v>
                </c:pt>
                <c:pt idx="7">
                  <c:v>8508.875</c:v>
                </c:pt>
                <c:pt idx="8">
                  <c:v>4871.375</c:v>
                </c:pt>
                <c:pt idx="9">
                  <c:v>6196.125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A-4A05-8B9D-1154EAF490B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0500543"/>
        <c:axId val="1160496703"/>
      </c:lineChart>
      <c:catAx>
        <c:axId val="116050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96703"/>
        <c:crosses val="autoZero"/>
        <c:auto val="1"/>
        <c:lblAlgn val="ctr"/>
        <c:lblOffset val="100"/>
        <c:noMultiLvlLbl val="0"/>
      </c:catAx>
      <c:valAx>
        <c:axId val="11604967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16050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 Recievable Project.xlsx]DASHBOARD!PivotTable6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DASHBOARD!$N$8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DASHBOARD!$M$9:$M$19</c:f>
              <c:strCache>
                <c:ptCount val="10"/>
                <c:pt idx="0">
                  <c:v>Consulting services</c:v>
                </c:pt>
                <c:pt idx="1">
                  <c:v>Equipment purchase</c:v>
                </c:pt>
                <c:pt idx="2">
                  <c:v>Maintenance services</c:v>
                </c:pt>
                <c:pt idx="3">
                  <c:v>Marketing services</c:v>
                </c:pt>
                <c:pt idx="4">
                  <c:v>Monthly subscription</c:v>
                </c:pt>
                <c:pt idx="5">
                  <c:v>Office supplies</c:v>
                </c:pt>
                <c:pt idx="6">
                  <c:v>Project delivery</c:v>
                </c:pt>
                <c:pt idx="7">
                  <c:v>Software licence</c:v>
                </c:pt>
                <c:pt idx="8">
                  <c:v>Stationery order</c:v>
                </c:pt>
                <c:pt idx="9">
                  <c:v>Training services</c:v>
                </c:pt>
              </c:strCache>
            </c:strRef>
          </c:cat>
          <c:val>
            <c:numRef>
              <c:f>DASHBOARD!$N$9:$N$19</c:f>
              <c:numCache>
                <c:formatCode>0</c:formatCode>
                <c:ptCount val="10"/>
                <c:pt idx="0">
                  <c:v>7674.9174999999996</c:v>
                </c:pt>
                <c:pt idx="1">
                  <c:v>8704.5275000000001</c:v>
                </c:pt>
                <c:pt idx="2">
                  <c:v>3603.4062499999995</c:v>
                </c:pt>
                <c:pt idx="3">
                  <c:v>5615.9549999999999</c:v>
                </c:pt>
                <c:pt idx="4">
                  <c:v>5306.2337499999994</c:v>
                </c:pt>
                <c:pt idx="5">
                  <c:v>4462.0124999999998</c:v>
                </c:pt>
                <c:pt idx="6">
                  <c:v>7794.652</c:v>
                </c:pt>
                <c:pt idx="7">
                  <c:v>9039.8762499999993</c:v>
                </c:pt>
                <c:pt idx="8">
                  <c:v>4918.0162500000006</c:v>
                </c:pt>
                <c:pt idx="9">
                  <c:v>6359.2787500000004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7-4C1A-B89D-1CFB5A69FB0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1942463"/>
        <c:axId val="1001941503"/>
      </c:lineChart>
      <c:catAx>
        <c:axId val="10019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941503"/>
        <c:crosses val="autoZero"/>
        <c:auto val="1"/>
        <c:lblAlgn val="ctr"/>
        <c:lblOffset val="100"/>
        <c:noMultiLvlLbl val="0"/>
      </c:catAx>
      <c:valAx>
        <c:axId val="100194150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0194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 Recievable Project.xlsx]DASHBOARD!PivotTable8</c:name>
    <c:fmtId val="0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DASHBOARD!$R$8</c:f>
              <c:strCache>
                <c:ptCount val="1"/>
                <c:pt idx="0">
                  <c:v>Sum of Outstanding Amount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DASHBOARD!$Q$9:$Q$19</c:f>
              <c:strCache>
                <c:ptCount val="10"/>
                <c:pt idx="0">
                  <c:v>Consulting services</c:v>
                </c:pt>
                <c:pt idx="1">
                  <c:v>Equipment purchase</c:v>
                </c:pt>
                <c:pt idx="2">
                  <c:v>Maintenance services</c:v>
                </c:pt>
                <c:pt idx="3">
                  <c:v>Marketing services</c:v>
                </c:pt>
                <c:pt idx="4">
                  <c:v>Monthly subscription</c:v>
                </c:pt>
                <c:pt idx="5">
                  <c:v>Office supplies</c:v>
                </c:pt>
                <c:pt idx="6">
                  <c:v>Project delivery</c:v>
                </c:pt>
                <c:pt idx="7">
                  <c:v>Software licence</c:v>
                </c:pt>
                <c:pt idx="8">
                  <c:v>Stationery order</c:v>
                </c:pt>
                <c:pt idx="9">
                  <c:v>Training services</c:v>
                </c:pt>
              </c:strCache>
            </c:strRef>
          </c:cat>
          <c:val>
            <c:numRef>
              <c:f>DASHBOARD!$R$9:$R$19</c:f>
              <c:numCache>
                <c:formatCode>0</c:formatCode>
                <c:ptCount val="10"/>
                <c:pt idx="0">
                  <c:v>7511.625</c:v>
                </c:pt>
                <c:pt idx="1">
                  <c:v>6483.125</c:v>
                </c:pt>
                <c:pt idx="2">
                  <c:v>2911.125</c:v>
                </c:pt>
                <c:pt idx="3">
                  <c:v>4761.5249999999996</c:v>
                </c:pt>
                <c:pt idx="4">
                  <c:v>2921</c:v>
                </c:pt>
                <c:pt idx="5">
                  <c:v>3718.375</c:v>
                </c:pt>
                <c:pt idx="6">
                  <c:v>7191.0249999999996</c:v>
                </c:pt>
                <c:pt idx="7">
                  <c:v>6833.875</c:v>
                </c:pt>
                <c:pt idx="8">
                  <c:v>4605.875</c:v>
                </c:pt>
                <c:pt idx="9">
                  <c:v>4271.625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3-43FE-BB36-7CE0D2D4F7B0}"/>
            </c:ext>
          </c:extLst>
        </c:ser>
        <c:ser>
          <c:idx val="1"/>
          <c:order val="1"/>
          <c:tx>
            <c:strRef>
              <c:f>DASHBOARD!$S$8</c:f>
              <c:strCache>
                <c:ptCount val="1"/>
                <c:pt idx="0">
                  <c:v>Sum of Amounts Paid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DASHBOARD!$Q$9:$Q$19</c:f>
              <c:strCache>
                <c:ptCount val="10"/>
                <c:pt idx="0">
                  <c:v>Consulting services</c:v>
                </c:pt>
                <c:pt idx="1">
                  <c:v>Equipment purchase</c:v>
                </c:pt>
                <c:pt idx="2">
                  <c:v>Maintenance services</c:v>
                </c:pt>
                <c:pt idx="3">
                  <c:v>Marketing services</c:v>
                </c:pt>
                <c:pt idx="4">
                  <c:v>Monthly subscription</c:v>
                </c:pt>
                <c:pt idx="5">
                  <c:v>Office supplies</c:v>
                </c:pt>
                <c:pt idx="6">
                  <c:v>Project delivery</c:v>
                </c:pt>
                <c:pt idx="7">
                  <c:v>Software licence</c:v>
                </c:pt>
                <c:pt idx="8">
                  <c:v>Stationery order</c:v>
                </c:pt>
                <c:pt idx="9">
                  <c:v>Training services</c:v>
                </c:pt>
              </c:strCache>
            </c:strRef>
          </c:cat>
          <c:val>
            <c:numRef>
              <c:f>DASHBOARD!$S$9:$S$19</c:f>
              <c:numCache>
                <c:formatCode>0</c:formatCode>
                <c:ptCount val="10"/>
                <c:pt idx="0">
                  <c:v>7674.9174999999996</c:v>
                </c:pt>
                <c:pt idx="1">
                  <c:v>8704.5275000000001</c:v>
                </c:pt>
                <c:pt idx="2">
                  <c:v>3603.4062499999995</c:v>
                </c:pt>
                <c:pt idx="3">
                  <c:v>5615.9549999999999</c:v>
                </c:pt>
                <c:pt idx="4">
                  <c:v>5306.2337499999994</c:v>
                </c:pt>
                <c:pt idx="5">
                  <c:v>4462.0124999999998</c:v>
                </c:pt>
                <c:pt idx="6">
                  <c:v>7794.652</c:v>
                </c:pt>
                <c:pt idx="7">
                  <c:v>9039.8762499999993</c:v>
                </c:pt>
                <c:pt idx="8">
                  <c:v>4918.0162500000006</c:v>
                </c:pt>
                <c:pt idx="9">
                  <c:v>6359.2787500000004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D3-43FE-BB36-7CE0D2D4F7B0}"/>
            </c:ext>
          </c:extLst>
        </c:ser>
        <c:ser>
          <c:idx val="2"/>
          <c:order val="2"/>
          <c:tx>
            <c:strRef>
              <c:f>DASHBOARD!$T$8</c:f>
              <c:strCache>
                <c:ptCount val="1"/>
                <c:pt idx="0">
                  <c:v>Sum of Deposit Amount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DASHBOARD!$Q$9:$Q$19</c:f>
              <c:strCache>
                <c:ptCount val="10"/>
                <c:pt idx="0">
                  <c:v>Consulting services</c:v>
                </c:pt>
                <c:pt idx="1">
                  <c:v>Equipment purchase</c:v>
                </c:pt>
                <c:pt idx="2">
                  <c:v>Maintenance services</c:v>
                </c:pt>
                <c:pt idx="3">
                  <c:v>Marketing services</c:v>
                </c:pt>
                <c:pt idx="4">
                  <c:v>Monthly subscription</c:v>
                </c:pt>
                <c:pt idx="5">
                  <c:v>Office supplies</c:v>
                </c:pt>
                <c:pt idx="6">
                  <c:v>Project delivery</c:v>
                </c:pt>
                <c:pt idx="7">
                  <c:v>Software licence</c:v>
                </c:pt>
                <c:pt idx="8">
                  <c:v>Stationery order</c:v>
                </c:pt>
                <c:pt idx="9">
                  <c:v>Training services</c:v>
                </c:pt>
              </c:strCache>
            </c:strRef>
          </c:cat>
          <c:val>
            <c:numRef>
              <c:f>DASHBOARD!$T$9:$T$19</c:f>
              <c:numCache>
                <c:formatCode>0</c:formatCode>
                <c:ptCount val="10"/>
                <c:pt idx="0">
                  <c:v>7511.625</c:v>
                </c:pt>
                <c:pt idx="1">
                  <c:v>8698.375</c:v>
                </c:pt>
                <c:pt idx="2">
                  <c:v>3451.125</c:v>
                </c:pt>
                <c:pt idx="3">
                  <c:v>5351.5249999999996</c:v>
                </c:pt>
                <c:pt idx="4">
                  <c:v>5056</c:v>
                </c:pt>
                <c:pt idx="5">
                  <c:v>4443.375</c:v>
                </c:pt>
                <c:pt idx="6">
                  <c:v>7191.0249999999996</c:v>
                </c:pt>
                <c:pt idx="7">
                  <c:v>8508.875</c:v>
                </c:pt>
                <c:pt idx="8">
                  <c:v>4871.375</c:v>
                </c:pt>
                <c:pt idx="9">
                  <c:v>6196.125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D3-43FE-BB36-7CE0D2D4F7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0261551"/>
        <c:axId val="1249820063"/>
      </c:lineChart>
      <c:catAx>
        <c:axId val="10402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820063"/>
        <c:crosses val="autoZero"/>
        <c:auto val="1"/>
        <c:lblAlgn val="ctr"/>
        <c:lblOffset val="100"/>
        <c:noMultiLvlLbl val="0"/>
      </c:catAx>
      <c:valAx>
        <c:axId val="1249820063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4026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DASHBOARD!$O$26:$O$28</c:f>
              <c:strCache>
                <c:ptCount val="3"/>
                <c:pt idx="0">
                  <c:v>Paid</c:v>
                </c:pt>
                <c:pt idx="1">
                  <c:v>Unpaid</c:v>
                </c:pt>
                <c:pt idx="2">
                  <c:v>Due</c:v>
                </c:pt>
              </c:strCache>
            </c:strRef>
          </c:cat>
          <c:val>
            <c:numRef>
              <c:f>DASHBOARD!$Q$26:$Q$28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F5-4E5C-9E18-ED3A79182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05539343"/>
        <c:axId val="15055350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DASHBOARD!$O$26:$O$28</c15:sqref>
                        </c15:formulaRef>
                      </c:ext>
                    </c:extLst>
                    <c:strCache>
                      <c:ptCount val="3"/>
                      <c:pt idx="0">
                        <c:v>Paid</c:v>
                      </c:pt>
                      <c:pt idx="1">
                        <c:v>Unpaid</c:v>
                      </c:pt>
                      <c:pt idx="2">
                        <c:v>Due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DASHBOARD!$P$26:$P$28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5F5-4E5C-9E18-ED3A7918289D}"/>
                  </c:ext>
                </c:extLst>
              </c15:ser>
            </c15:filteredBarSeries>
          </c:ext>
        </c:extLst>
      </c:barChart>
      <c:catAx>
        <c:axId val="150553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35023"/>
        <c:crosses val="autoZero"/>
        <c:auto val="1"/>
        <c:lblAlgn val="ctr"/>
        <c:lblOffset val="100"/>
        <c:noMultiLvlLbl val="0"/>
      </c:catAx>
      <c:valAx>
        <c:axId val="150553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53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21771</xdr:colOff>
      <xdr:row>26</xdr:row>
      <xdr:rowOff>43543</xdr:rowOff>
    </xdr:from>
    <xdr:to>
      <xdr:col>12</xdr:col>
      <xdr:colOff>576943</xdr:colOff>
      <xdr:row>26</xdr:row>
      <xdr:rowOff>163286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202933D-6EB9-1A8A-1ACD-5F5357C595BC}"/>
            </a:ext>
          </a:extLst>
        </xdr:cNvPr>
        <xdr:cNvSpPr/>
      </xdr:nvSpPr>
      <xdr:spPr>
        <a:xfrm>
          <a:off x="7336971" y="5475514"/>
          <a:ext cx="555172" cy="1197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28</xdr:row>
      <xdr:rowOff>0</xdr:rowOff>
    </xdr:from>
    <xdr:to>
      <xdr:col>12</xdr:col>
      <xdr:colOff>555172</xdr:colOff>
      <xdr:row>28</xdr:row>
      <xdr:rowOff>119743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D1353840-CE56-49AE-9EE7-3099C71D09F9}"/>
            </a:ext>
          </a:extLst>
        </xdr:cNvPr>
        <xdr:cNvSpPr/>
      </xdr:nvSpPr>
      <xdr:spPr>
        <a:xfrm>
          <a:off x="7315200" y="5802086"/>
          <a:ext cx="555172" cy="1197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32</xdr:row>
      <xdr:rowOff>0</xdr:rowOff>
    </xdr:from>
    <xdr:to>
      <xdr:col>12</xdr:col>
      <xdr:colOff>555172</xdr:colOff>
      <xdr:row>32</xdr:row>
      <xdr:rowOff>119743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3BCF0E72-3616-4B9A-AE85-119FB915FB3F}"/>
            </a:ext>
          </a:extLst>
        </xdr:cNvPr>
        <xdr:cNvSpPr/>
      </xdr:nvSpPr>
      <xdr:spPr>
        <a:xfrm>
          <a:off x="7315200" y="6542314"/>
          <a:ext cx="555172" cy="1197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35</xdr:row>
      <xdr:rowOff>0</xdr:rowOff>
    </xdr:from>
    <xdr:to>
      <xdr:col>12</xdr:col>
      <xdr:colOff>555172</xdr:colOff>
      <xdr:row>35</xdr:row>
      <xdr:rowOff>119743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E870006C-4C5B-4D1D-A259-DFB3FF65B46A}"/>
            </a:ext>
          </a:extLst>
        </xdr:cNvPr>
        <xdr:cNvSpPr/>
      </xdr:nvSpPr>
      <xdr:spPr>
        <a:xfrm>
          <a:off x="7315200" y="7097486"/>
          <a:ext cx="555172" cy="1197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0</xdr:rowOff>
    </xdr:from>
    <xdr:to>
      <xdr:col>12</xdr:col>
      <xdr:colOff>555172</xdr:colOff>
      <xdr:row>38</xdr:row>
      <xdr:rowOff>119743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0565DF40-AFA9-4671-A6D0-742686F3250F}"/>
            </a:ext>
          </a:extLst>
        </xdr:cNvPr>
        <xdr:cNvSpPr/>
      </xdr:nvSpPr>
      <xdr:spPr>
        <a:xfrm>
          <a:off x="7315200" y="7097486"/>
          <a:ext cx="555172" cy="1197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723900</xdr:colOff>
      <xdr:row>35</xdr:row>
      <xdr:rowOff>38100</xdr:rowOff>
    </xdr:from>
    <xdr:to>
      <xdr:col>13</xdr:col>
      <xdr:colOff>133350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8A974D-EB5F-E471-4D92-C4BE83FC2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449036</xdr:colOff>
      <xdr:row>39</xdr:row>
      <xdr:rowOff>62593</xdr:rowOff>
    </xdr:from>
    <xdr:to>
      <xdr:col>18</xdr:col>
      <xdr:colOff>220434</xdr:colOff>
      <xdr:row>54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2FB31-94E0-7AED-560F-73BE69969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514350</xdr:colOff>
      <xdr:row>34</xdr:row>
      <xdr:rowOff>114300</xdr:rowOff>
    </xdr:from>
    <xdr:to>
      <xdr:col>24</xdr:col>
      <xdr:colOff>552450</xdr:colOff>
      <xdr:row>57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9F25D3-E4B2-6347-7424-0F7D5DED5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1888672</xdr:colOff>
      <xdr:row>62</xdr:row>
      <xdr:rowOff>57149</xdr:rowOff>
    </xdr:from>
    <xdr:to>
      <xdr:col>22</xdr:col>
      <xdr:colOff>770164</xdr:colOff>
      <xdr:row>77</xdr:row>
      <xdr:rowOff>24492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152370-C174-BBEC-9A7D-19FA83BE3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nshu Joshi" refreshedDate="46315.486472222219" createdVersion="8" refreshedVersion="8" minRefreshableVersion="3" recordCount="100" xr:uid="{5A741E39-0E5E-4CF2-B2C4-F98604EC9D74}">
  <cacheSource type="worksheet">
    <worksheetSource ref="D11:P111" sheet="ARD"/>
  </cacheSource>
  <cacheFields count="13">
    <cacheField name="Invoice Number" numFmtId="0">
      <sharedItems count="100">
        <s v="INV-2026-001"/>
        <s v="INV-2026-002"/>
        <s v="INV-2026-003"/>
        <s v="INV-2026-004"/>
        <s v="INV-2026-005"/>
        <s v="INV-2026-006"/>
        <s v="INV-2026-007"/>
        <s v="INV-2026-008"/>
        <s v="INV-2026-009"/>
        <s v="INV-2026-010"/>
        <s v="INV-2026-011"/>
        <s v="INV-2026-012"/>
        <s v="INV-2026-013"/>
        <s v="INV-2026-014"/>
        <s v="INV-2026-015"/>
        <s v="INV-2026-016"/>
        <s v="INV-2026-017"/>
        <s v="INV-2026-018"/>
        <s v="INV-2026-019"/>
        <s v="INV-2026-020"/>
        <s v="INV-2026-021"/>
        <s v="INV-2026-022"/>
        <s v="INV-2026-023"/>
        <s v="INV-2026-024"/>
        <s v="INV-2026-025"/>
        <s v="INV-2026-026"/>
        <s v="INV-2026-027"/>
        <s v="INV-2026-028"/>
        <s v="INV-2026-029"/>
        <s v="INV-2026-030"/>
        <s v="INV-2026-031"/>
        <s v="INV-2026-032"/>
        <s v="INV-2026-033"/>
        <s v="INV-2026-034"/>
        <s v="INV-2026-035"/>
        <s v="INV-2026-036"/>
        <s v="INV-2026-037"/>
        <s v="INV-2026-038"/>
        <s v="INV-2026-039"/>
        <s v="INV-2026-040"/>
        <s v="INV-2026-041"/>
        <s v="INV-2026-042"/>
        <s v="INV-2026-043"/>
        <s v="INV-2026-044"/>
        <s v="INV-2026-045"/>
        <s v="INV-2026-046"/>
        <s v="INV-2026-047"/>
        <s v="INV-2026-048"/>
        <s v="INV-2026-049"/>
        <s v="INV-2026-050"/>
        <s v="INV-2026-051"/>
        <s v="INV-2026-052"/>
        <s v="INV-2026-053"/>
        <s v="INV-2026-054"/>
        <s v="INV-2026-055"/>
        <s v="INV-2026-056"/>
        <s v="INV-2026-057"/>
        <s v="INV-2026-058"/>
        <s v="INV-2026-059"/>
        <s v="INV-2026-060"/>
        <s v="INV-2026-061"/>
        <s v="INV-2026-062"/>
        <s v="INV-2026-063"/>
        <s v="INV-2026-064"/>
        <s v="INV-2026-065"/>
        <s v="INV-2026-066"/>
        <s v="INV-2026-067"/>
        <s v="INV-2026-068"/>
        <s v="INV-2026-069"/>
        <s v="INV-2026-070"/>
        <s v="INV-2026-071"/>
        <s v="INV-2026-072"/>
        <s v="INV-2026-073"/>
        <s v="INV-2026-074"/>
        <s v="INV-2026-075"/>
        <s v="INV-2026-076"/>
        <s v="INV-2026-077"/>
        <s v="INV-2026-078"/>
        <s v="INV-2026-079"/>
        <s v="INV-2026-080"/>
        <s v="INV-2026-081"/>
        <s v="INV-2026-082"/>
        <s v="INV-2026-083"/>
        <s v="INV-2026-084"/>
        <s v="INV-2026-085"/>
        <s v="INV-2026-086"/>
        <s v="INV-2026-087"/>
        <s v="INV-2026-088"/>
        <s v="INV-2026-089"/>
        <s v="INV-2026-090"/>
        <s v="INV-2026-091"/>
        <s v="INV-2026-092"/>
        <s v="INV-2026-093"/>
        <s v="INV-2026-094"/>
        <s v="INV-2026-095"/>
        <s v="INV-2026-096"/>
        <s v="INV-2026-097"/>
        <s v="INV-2026-098"/>
        <s v="INV-2026-099"/>
        <s v="INV-2026-100"/>
      </sharedItems>
    </cacheField>
    <cacheField name="Customer Name" numFmtId="0">
      <sharedItems count="100">
        <s v="Oliver Bennett"/>
        <s v="Amelia Carter"/>
        <s v="George Mitchell"/>
        <s v="Isla Thompson"/>
        <s v="Harry Wilson"/>
        <s v="Ava Robinson"/>
        <s v="Noah Walker"/>
        <s v="Grace Hall"/>
        <s v="Jack Young"/>
        <s v="Lily Allen"/>
        <s v="Charlie King"/>
        <s v="Mia Wright"/>
        <s v="Thomas Scott"/>
        <s v="Sophia Green"/>
        <s v="Oscar Baker"/>
        <s v="Emily Adams"/>
        <s v="William Nelson"/>
        <s v="Ella Hill"/>
        <s v="James Lewis"/>
        <s v="Freya Clark"/>
        <s v="Henry Lewis"/>
        <s v="Poppy Robinson"/>
        <s v="Alfie Walker"/>
        <s v="Evie Hall"/>
        <s v="Leo Young"/>
        <s v="Florence King"/>
        <s v="Archie Wright"/>
        <s v="Ivy Scott"/>
        <s v="Freddie Green"/>
        <s v="Elsie Baker"/>
        <s v="Ethan Adams"/>
        <s v="Ruby Nelson"/>
        <s v="Lucas Hill"/>
        <s v="Daisy Lewis"/>
        <s v="Finley Clark"/>
        <s v="Chloe Mitchell"/>
        <s v="Mason Thompson"/>
        <s v="Sophie Wilson"/>
        <s v="Teddy Carter"/>
        <s v="Millie Bennett"/>
        <s v="Benjamin Harris"/>
        <s v="Aria Martin"/>
        <s v="Daniel Moore"/>
        <s v="Maisie Taylor"/>
        <s v="Samuel Anderson"/>
        <s v="Sienna Thomas"/>
        <s v="Joseph Jackson"/>
        <s v="Phoebe White"/>
        <s v="Alexander Harris"/>
        <s v="Matilda Martin"/>
        <s v="Sebastian Moore"/>
        <s v="Harper Taylor"/>
        <s v="Dylan Anderson"/>
        <s v="Violet Thomas"/>
        <s v="Adam Jackson"/>
        <s v="Esme White"/>
        <s v="Ryan Harris"/>
        <s v="Willow Martin"/>
        <s v="Nathan Moore"/>
        <s v="Luna Taylor"/>
        <s v="Isaac Anderson"/>
        <s v="Erin Thomas"/>
        <s v="Caleb Jackson"/>
        <s v="Georgia White"/>
        <s v="Aaron Harris"/>
        <s v="Holly Martin"/>
        <s v="Connor Moore"/>
        <s v="Megan Taylor"/>
        <s v="Reuben Anderson"/>
        <s v="Imogen Thomas"/>
        <s v="David Jackson"/>
        <s v="Arabella White"/>
        <s v="Michael Harris"/>
        <s v="Eliza Martin"/>
        <s v="Christopher Moore"/>
        <s v="Clara Taylor"/>
        <s v="Jonathan Anderson"/>
        <s v="Amber Thomas"/>
        <s v="Robert Jackson"/>
        <s v="Beatrice White"/>
        <s v="Louis Harris"/>
        <s v="Orla Martin"/>
        <s v="Edward Moore"/>
        <s v="Nancy Taylor"/>
        <s v="Gabriel Anderson"/>
        <s v="Martha Thomas"/>
        <s v="Patrick Jackson"/>
        <s v="Rose White"/>
        <s v="Andrew Harris"/>
        <s v="Edith Martin"/>
        <s v="Matthew Moore"/>
        <s v="Sarah Taylor"/>
        <s v="Anthony Anderson"/>
        <s v="Jane Thomas"/>
        <s v="Peter Jackson"/>
        <s v="Lucy White"/>
        <s v="Stephen Harris"/>
        <s v="Anna Martin"/>
        <s v="Timothy Moore"/>
        <s v="Victoria Taylor"/>
      </sharedItems>
    </cacheField>
    <cacheField name="Date of invoice" numFmtId="14">
      <sharedItems containsSemiMixedTypes="0" containsNonDate="0" containsDate="1" containsString="0" minDate="2026-06-02T00:00:00" maxDate="2026-10-31T00:00:00"/>
    </cacheField>
    <cacheField name="Invoice Amount" numFmtId="164">
      <sharedItems containsSemiMixedTypes="0" containsString="0" containsNumber="1" minValue="265.5" maxValue="2850"/>
    </cacheField>
    <cacheField name="Payment Note" numFmtId="0">
      <sharedItems count="10">
        <s v="Office supplies"/>
        <s v="Consulting services"/>
        <s v="Equipment purchase"/>
        <s v="Monthly subscription"/>
        <s v="Project delivery"/>
        <s v="Marketing services"/>
        <s v="Maintenance services"/>
        <s v="Software licence"/>
        <s v="Stationery order"/>
        <s v="Training services"/>
      </sharedItems>
    </cacheField>
    <cacheField name="Payment Refence" numFmtId="0">
      <sharedItems/>
    </cacheField>
    <cacheField name="Deposit Amount" numFmtId="167">
      <sharedItems containsSemiMixedTypes="0" containsString="0" containsNumber="1" minValue="140" maxValue="1675"/>
    </cacheField>
    <cacheField name="Outstanding Amount" numFmtId="168">
      <sharedItems containsMixedTypes="1" containsNumber="1" minValue="-50" maxValue="1425"/>
    </cacheField>
    <cacheField name="Amounts Paid" numFmtId="168">
      <sharedItems containsSemiMixedTypes="0" containsString="0" containsNumber="1" minValue="140" maxValue="1675"/>
    </cacheField>
    <cacheField name="Days Of Credit" numFmtId="1">
      <sharedItems containsMixedTypes="1" containsNumber="1" containsInteger="1" minValue="-10" maxValue="140"/>
    </cacheField>
    <cacheField name="Credit Terms" numFmtId="0">
      <sharedItems containsSemiMixedTypes="0" containsString="0" containsNumber="1" containsInteger="1" minValue="30" maxValue="30"/>
    </cacheField>
    <cacheField name="Due Days" numFmtId="1">
      <sharedItems containsMixedTypes="1" containsNumber="1" containsInteger="1" minValue="1" maxValue="11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d v="2026-10-16T00:00:00"/>
    <n v="450"/>
    <x v="0"/>
    <s v="PAY-7001"/>
    <n v="225"/>
    <n v="225"/>
    <n v="225"/>
    <n v="4"/>
    <n v="30"/>
    <s v=""/>
    <m/>
  </r>
  <r>
    <x v="1"/>
    <x v="1"/>
    <d v="2026-08-20T00:00:00"/>
    <n v="1250.5"/>
    <x v="1"/>
    <s v="PAY-7002"/>
    <n v="625.25"/>
    <n v="625.25"/>
    <n v="731.54250000000002"/>
    <n v="61"/>
    <n v="30"/>
    <n v="31"/>
    <m/>
  </r>
  <r>
    <x v="2"/>
    <x v="2"/>
    <d v="2026-08-25T00:00:00"/>
    <n v="785.25"/>
    <x v="2"/>
    <s v="PAY-7003"/>
    <n v="785.25"/>
    <s v="Paid All"/>
    <n v="785.25"/>
    <n v="56"/>
    <n v="30"/>
    <n v="26"/>
    <m/>
  </r>
  <r>
    <x v="3"/>
    <x v="3"/>
    <d v="2026-09-02T00:00:00"/>
    <n v="320"/>
    <x v="3"/>
    <s v="PAY-7004"/>
    <n v="160"/>
    <n v="160"/>
    <n v="172.8"/>
    <n v="48"/>
    <n v="30"/>
    <n v="18"/>
    <m/>
  </r>
  <r>
    <x v="4"/>
    <x v="4"/>
    <d v="2026-09-05T00:00:00"/>
    <n v="2100"/>
    <x v="4"/>
    <s v="PAY-7005"/>
    <n v="1050"/>
    <n v="1050"/>
    <n v="1134"/>
    <n v="45"/>
    <n v="30"/>
    <n v="15"/>
    <m/>
  </r>
  <r>
    <x v="5"/>
    <x v="5"/>
    <d v="2026-09-10T00:00:00"/>
    <n v="675.8"/>
    <x v="5"/>
    <s v="PAY-7006"/>
    <n v="337.9"/>
    <n v="337.9"/>
    <n v="354.79499999999996"/>
    <n v="40"/>
    <n v="30"/>
    <n v="10"/>
    <m/>
  </r>
  <r>
    <x v="6"/>
    <x v="6"/>
    <d v="2026-09-12T00:00:00"/>
    <n v="540"/>
    <x v="6"/>
    <s v="PAY-7007"/>
    <n v="540"/>
    <s v="Paid All"/>
    <n v="540"/>
    <n v="38"/>
    <n v="30"/>
    <n v="8"/>
    <m/>
  </r>
  <r>
    <x v="7"/>
    <x v="7"/>
    <d v="2026-09-15T00:00:00"/>
    <n v="1890.75"/>
    <x v="7"/>
    <s v="PAY-7008"/>
    <n v="945.375"/>
    <n v="945.375"/>
    <n v="964.28250000000003"/>
    <n v="35"/>
    <n v="30"/>
    <n v="5"/>
    <m/>
  </r>
  <r>
    <x v="8"/>
    <x v="8"/>
    <d v="2026-09-18T00:00:00"/>
    <n v="265.5"/>
    <x v="8"/>
    <s v="PAY-7009"/>
    <n v="265.5"/>
    <s v="Paid All"/>
    <n v="265.5"/>
    <n v="32"/>
    <n v="30"/>
    <n v="2"/>
    <m/>
  </r>
  <r>
    <x v="9"/>
    <x v="9"/>
    <d v="2026-09-20T00:00:00"/>
    <n v="980"/>
    <x v="9"/>
    <s v="PAY-7010"/>
    <n v="490"/>
    <n v="490"/>
    <n v="490"/>
    <n v="30"/>
    <n v="30"/>
    <s v=""/>
    <m/>
  </r>
  <r>
    <x v="10"/>
    <x v="10"/>
    <d v="2026-09-22T00:00:00"/>
    <n v="1450"/>
    <x v="1"/>
    <s v="PAY-7011"/>
    <n v="725"/>
    <n v="725"/>
    <n v="725"/>
    <n v="28"/>
    <n v="30"/>
    <s v=""/>
    <m/>
  </r>
  <r>
    <x v="11"/>
    <x v="11"/>
    <d v="2026-09-25T00:00:00"/>
    <n v="375.25"/>
    <x v="0"/>
    <s v="PAY-7012"/>
    <n v="187.625"/>
    <n v="187.625"/>
    <n v="187.625"/>
    <n v="25"/>
    <n v="30"/>
    <s v=""/>
    <m/>
  </r>
  <r>
    <x v="12"/>
    <x v="12"/>
    <d v="2026-09-28T00:00:00"/>
    <n v="2750"/>
    <x v="2"/>
    <s v="PAY-7013"/>
    <n v="1375"/>
    <n v="1375"/>
    <n v="1375"/>
    <n v="22"/>
    <n v="30"/>
    <s v=""/>
    <m/>
  </r>
  <r>
    <x v="13"/>
    <x v="13"/>
    <d v="2026-09-30T00:00:00"/>
    <n v="625"/>
    <x v="3"/>
    <s v="PAY-7014"/>
    <n v="675"/>
    <n v="-50"/>
    <n v="675"/>
    <s v=""/>
    <n v="30"/>
    <s v=""/>
    <m/>
  </r>
  <r>
    <x v="14"/>
    <x v="14"/>
    <d v="2026-06-02T00:00:00"/>
    <n v="1120.8"/>
    <x v="4"/>
    <s v="PAY-7015"/>
    <n v="560.4"/>
    <n v="560.4"/>
    <n v="773.35200000000009"/>
    <n v="140"/>
    <n v="30"/>
    <n v="110"/>
    <m/>
  </r>
  <r>
    <x v="15"/>
    <x v="15"/>
    <d v="2026-10-04T00:00:00"/>
    <n v="890"/>
    <x v="5"/>
    <s v="PAY-7016"/>
    <n v="445"/>
    <n v="445"/>
    <n v="445"/>
    <n v="16"/>
    <n v="30"/>
    <s v=""/>
    <m/>
  </r>
  <r>
    <x v="16"/>
    <x v="16"/>
    <d v="2026-10-06T00:00:00"/>
    <n v="410.5"/>
    <x v="6"/>
    <s v="PAY-7017"/>
    <n v="205.25"/>
    <n v="205.25"/>
    <n v="205.25"/>
    <n v="14"/>
    <n v="30"/>
    <s v=""/>
    <m/>
  </r>
  <r>
    <x v="17"/>
    <x v="17"/>
    <d v="2026-10-08T00:00:00"/>
    <n v="1675"/>
    <x v="7"/>
    <s v="PAY-7018"/>
    <n v="1675"/>
    <s v="Paid All"/>
    <n v="1675"/>
    <n v="12"/>
    <n v="30"/>
    <s v=""/>
    <m/>
  </r>
  <r>
    <x v="18"/>
    <x v="18"/>
    <d v="2026-10-10T00:00:00"/>
    <n v="295"/>
    <x v="8"/>
    <s v="PAY-7019"/>
    <n v="147.5"/>
    <n v="147.5"/>
    <n v="147.5"/>
    <n v="10"/>
    <n v="30"/>
    <s v=""/>
    <m/>
  </r>
  <r>
    <x v="19"/>
    <x v="19"/>
    <d v="2026-10-12T00:00:00"/>
    <n v="1350.25"/>
    <x v="9"/>
    <s v="PAY-7020"/>
    <n v="675.125"/>
    <n v="675.125"/>
    <n v="675.125"/>
    <n v="8"/>
    <n v="30"/>
    <s v=""/>
    <m/>
  </r>
  <r>
    <x v="20"/>
    <x v="20"/>
    <d v="2026-10-14T00:00:00"/>
    <n v="725"/>
    <x v="0"/>
    <s v="PAY-7021"/>
    <n v="725"/>
    <s v="Paid All"/>
    <n v="725"/>
    <n v="6"/>
    <n v="30"/>
    <s v=""/>
    <m/>
  </r>
  <r>
    <x v="21"/>
    <x v="21"/>
    <d v="2026-10-16T00:00:00"/>
    <n v="2350.5"/>
    <x v="1"/>
    <s v="PAY-7022"/>
    <n v="1175.25"/>
    <n v="1175.25"/>
    <n v="1175.25"/>
    <n v="4"/>
    <n v="30"/>
    <s v=""/>
    <m/>
  </r>
  <r>
    <x v="22"/>
    <x v="22"/>
    <d v="2026-08-18T00:00:00"/>
    <n v="560"/>
    <x v="2"/>
    <s v="PAY-7023"/>
    <n v="580"/>
    <n v="-20"/>
    <n v="580"/>
    <s v=""/>
    <n v="30"/>
    <s v=""/>
    <m/>
  </r>
  <r>
    <x v="23"/>
    <x v="23"/>
    <d v="2026-08-22T00:00:00"/>
    <n v="1025.75"/>
    <x v="3"/>
    <s v="PAY-7024"/>
    <n v="512.875"/>
    <n v="512.875"/>
    <n v="584.67750000000001"/>
    <n v="59"/>
    <n v="30"/>
    <n v="29"/>
    <m/>
  </r>
  <r>
    <x v="24"/>
    <x v="24"/>
    <d v="2026-08-28T00:00:00"/>
    <n v="440"/>
    <x v="4"/>
    <s v="PAY-7025"/>
    <n v="220"/>
    <n v="220"/>
    <n v="244.2"/>
    <n v="53"/>
    <n v="30"/>
    <n v="23"/>
    <m/>
  </r>
  <r>
    <x v="25"/>
    <x v="25"/>
    <d v="2026-09-03T00:00:00"/>
    <n v="1780"/>
    <x v="5"/>
    <s v="PAY-7026"/>
    <n v="890"/>
    <n v="890"/>
    <n v="961.2"/>
    <n v="47"/>
    <n v="30"/>
    <n v="17"/>
    <m/>
  </r>
  <r>
    <x v="26"/>
    <x v="26"/>
    <d v="2026-09-07T00:00:00"/>
    <n v="315.25"/>
    <x v="6"/>
    <s v="PAY-7027"/>
    <n v="157.625"/>
    <n v="157.625"/>
    <n v="165.50624999999999"/>
    <n v="43"/>
    <n v="30"/>
    <n v="13"/>
    <m/>
  </r>
  <r>
    <x v="27"/>
    <x v="27"/>
    <d v="2026-09-11T00:00:00"/>
    <n v="940"/>
    <x v="7"/>
    <s v="PAY-7028"/>
    <n v="470"/>
    <n v="470"/>
    <n v="479.4"/>
    <n v="39"/>
    <n v="30"/>
    <n v="9"/>
    <m/>
  </r>
  <r>
    <x v="28"/>
    <x v="28"/>
    <d v="2026-09-14T00:00:00"/>
    <n v="2450"/>
    <x v="8"/>
    <s v="PAY-7029"/>
    <n v="1225"/>
    <n v="1225"/>
    <n v="1249.5"/>
    <n v="36"/>
    <n v="30"/>
    <n v="6"/>
    <m/>
  </r>
  <r>
    <x v="29"/>
    <x v="29"/>
    <d v="2026-09-17T00:00:00"/>
    <n v="685.5"/>
    <x v="9"/>
    <s v="PAY-7030"/>
    <n v="685"/>
    <n v="0.5"/>
    <n v="685"/>
    <s v=""/>
    <n v="30"/>
    <s v=""/>
    <m/>
  </r>
  <r>
    <x v="30"/>
    <x v="30"/>
    <d v="2026-09-21T00:00:00"/>
    <n v="1150"/>
    <x v="0"/>
    <s v="PAY-7031"/>
    <n v="575"/>
    <n v="575"/>
    <n v="575"/>
    <n v="29"/>
    <n v="30"/>
    <s v=""/>
    <m/>
  </r>
  <r>
    <x v="31"/>
    <x v="31"/>
    <d v="2026-09-24T00:00:00"/>
    <n v="395.75"/>
    <x v="1"/>
    <s v="PAY-7032"/>
    <n v="197.875"/>
    <n v="197.875"/>
    <n v="197.875"/>
    <n v="26"/>
    <n v="30"/>
    <s v=""/>
    <m/>
  </r>
  <r>
    <x v="32"/>
    <x v="32"/>
    <d v="2026-09-27T00:00:00"/>
    <n v="2850"/>
    <x v="2"/>
    <s v="PAY-7033"/>
    <n v="1425"/>
    <n v="1425"/>
    <n v="1425"/>
    <n v="23"/>
    <n v="30"/>
    <s v=""/>
    <m/>
  </r>
  <r>
    <x v="33"/>
    <x v="33"/>
    <d v="2026-09-29T00:00:00"/>
    <n v="760"/>
    <x v="3"/>
    <s v="PAY-7034"/>
    <n v="380"/>
    <n v="380"/>
    <n v="380"/>
    <n v="21"/>
    <n v="30"/>
    <s v=""/>
    <m/>
  </r>
  <r>
    <x v="34"/>
    <x v="34"/>
    <d v="2026-10-01T00:00:00"/>
    <n v="1425.5"/>
    <x v="4"/>
    <s v="PAY-7035"/>
    <n v="712.75"/>
    <n v="712.75"/>
    <n v="712.75"/>
    <n v="19"/>
    <n v="30"/>
    <s v=""/>
    <m/>
  </r>
  <r>
    <x v="35"/>
    <x v="35"/>
    <d v="2026-10-03T00:00:00"/>
    <n v="530"/>
    <x v="5"/>
    <s v="PAY-7036"/>
    <n v="560"/>
    <n v="-30"/>
    <n v="560"/>
    <s v=""/>
    <n v="30"/>
    <s v=""/>
    <m/>
  </r>
  <r>
    <x v="36"/>
    <x v="36"/>
    <d v="2026-10-05T00:00:00"/>
    <n v="975.25"/>
    <x v="6"/>
    <s v="PAY-7037"/>
    <n v="487.625"/>
    <n v="487.625"/>
    <n v="487.625"/>
    <n v="15"/>
    <n v="30"/>
    <s v=""/>
    <m/>
  </r>
  <r>
    <x v="37"/>
    <x v="37"/>
    <d v="2026-10-07T00:00:00"/>
    <n v="1850"/>
    <x v="7"/>
    <s v="PAY-7038"/>
    <n v="925"/>
    <n v="925"/>
    <n v="925"/>
    <n v="13"/>
    <n v="30"/>
    <s v=""/>
    <m/>
  </r>
  <r>
    <x v="38"/>
    <x v="38"/>
    <d v="2026-10-09T00:00:00"/>
    <n v="280"/>
    <x v="8"/>
    <s v="PAY-7039"/>
    <n v="140"/>
    <n v="140"/>
    <n v="140"/>
    <n v="11"/>
    <n v="30"/>
    <s v=""/>
    <m/>
  </r>
  <r>
    <x v="39"/>
    <x v="39"/>
    <d v="2026-10-11T00:00:00"/>
    <n v="1095.75"/>
    <x v="9"/>
    <s v="PAY-7040"/>
    <n v="547.875"/>
    <n v="547.875"/>
    <n v="547.875"/>
    <n v="9"/>
    <n v="30"/>
    <s v=""/>
    <m/>
  </r>
  <r>
    <x v="40"/>
    <x v="40"/>
    <d v="2026-10-13T00:00:00"/>
    <n v="650"/>
    <x v="0"/>
    <s v="PAY-7041"/>
    <n v="325"/>
    <n v="325"/>
    <n v="325"/>
    <n v="7"/>
    <n v="30"/>
    <s v=""/>
    <m/>
  </r>
  <r>
    <x v="41"/>
    <x v="41"/>
    <d v="2026-10-15T00:00:00"/>
    <n v="1980.5"/>
    <x v="1"/>
    <s v="PAY-7042"/>
    <n v="990.25"/>
    <n v="990.25"/>
    <n v="990.25"/>
    <n v="5"/>
    <n v="30"/>
    <s v=""/>
    <m/>
  </r>
  <r>
    <x v="42"/>
    <x v="42"/>
    <d v="2026-10-16T00:00:00"/>
    <n v="845"/>
    <x v="2"/>
    <s v="PAY-7043"/>
    <n v="422.5"/>
    <n v="422.5"/>
    <n v="422.5"/>
    <n v="4"/>
    <n v="30"/>
    <s v=""/>
    <m/>
  </r>
  <r>
    <x v="43"/>
    <x v="43"/>
    <d v="2026-08-19T00:00:00"/>
    <n v="420.25"/>
    <x v="3"/>
    <s v="PAY-7044"/>
    <n v="210.125"/>
    <n v="210.125"/>
    <n v="245.84625"/>
    <n v="62"/>
    <n v="30"/>
    <n v="32"/>
    <m/>
  </r>
  <r>
    <x v="44"/>
    <x v="44"/>
    <d v="2026-08-24T00:00:00"/>
    <n v="2650"/>
    <x v="4"/>
    <s v="PAY-7045"/>
    <n v="1325"/>
    <n v="1325"/>
    <n v="1510.5"/>
    <n v="57"/>
    <n v="30"/>
    <n v="27"/>
    <m/>
  </r>
  <r>
    <x v="45"/>
    <x v="45"/>
    <d v="2026-08-29T00:00:00"/>
    <n v="715.5"/>
    <x v="5"/>
    <s v="PAY-7046"/>
    <n v="357.75"/>
    <n v="357.75"/>
    <n v="397.10250000000002"/>
    <n v="52"/>
    <n v="30"/>
    <n v="22"/>
    <m/>
  </r>
  <r>
    <x v="46"/>
    <x v="46"/>
    <d v="2026-09-04T00:00:00"/>
    <n v="390"/>
    <x v="6"/>
    <s v="PAY-7047"/>
    <n v="195"/>
    <n v="195"/>
    <n v="210.6"/>
    <n v="46"/>
    <n v="30"/>
    <n v="16"/>
    <m/>
  </r>
  <r>
    <x v="47"/>
    <x v="47"/>
    <d v="2026-09-08T00:00:00"/>
    <n v="1560.75"/>
    <x v="7"/>
    <s v="PAY-7048"/>
    <n v="780.375"/>
    <n v="780.375"/>
    <n v="819.39374999999995"/>
    <n v="42"/>
    <n v="30"/>
    <n v="12"/>
    <m/>
  </r>
  <r>
    <x v="48"/>
    <x v="48"/>
    <d v="2026-09-13T00:00:00"/>
    <n v="305"/>
    <x v="8"/>
    <s v="PAY-7049"/>
    <n v="152.5"/>
    <n v="152.5"/>
    <n v="155.55000000000001"/>
    <n v="37"/>
    <n v="30"/>
    <n v="7"/>
    <m/>
  </r>
  <r>
    <x v="49"/>
    <x v="49"/>
    <d v="2026-09-16T00:00:00"/>
    <n v="1240"/>
    <x v="9"/>
    <s v="PAY-7050"/>
    <n v="1240"/>
    <s v="Paid All"/>
    <n v="1240"/>
    <n v="34"/>
    <n v="30"/>
    <n v="4"/>
    <m/>
  </r>
  <r>
    <x v="50"/>
    <x v="50"/>
    <d v="2026-09-19T00:00:00"/>
    <n v="890.5"/>
    <x v="0"/>
    <s v="PAY-7051"/>
    <n v="445.25"/>
    <n v="445.25"/>
    <n v="445.25"/>
    <n v="31"/>
    <n v="30"/>
    <n v="1"/>
    <m/>
  </r>
  <r>
    <x v="51"/>
    <x v="51"/>
    <d v="2026-09-23T00:00:00"/>
    <n v="2150"/>
    <x v="1"/>
    <s v="PAY-7052"/>
    <n v="1075"/>
    <n v="1075"/>
    <n v="1075"/>
    <n v="27"/>
    <n v="30"/>
    <s v=""/>
    <m/>
  </r>
  <r>
    <x v="52"/>
    <x v="52"/>
    <d v="2026-09-26T00:00:00"/>
    <n v="475.25"/>
    <x v="2"/>
    <s v="PAY-7053"/>
    <n v="237.625"/>
    <n v="237.625"/>
    <n v="237.625"/>
    <n v="24"/>
    <n v="30"/>
    <s v=""/>
    <m/>
  </r>
  <r>
    <x v="53"/>
    <x v="53"/>
    <d v="2026-08-30T00:00:00"/>
    <n v="1375"/>
    <x v="3"/>
    <s v="PAY-7054"/>
    <n v="687.5"/>
    <n v="687.5"/>
    <n v="763.125"/>
    <n v="51"/>
    <n v="30"/>
    <n v="21"/>
    <m/>
  </r>
  <r>
    <x v="54"/>
    <x v="54"/>
    <d v="2026-09-06T00:00:00"/>
    <n v="590"/>
    <x v="4"/>
    <s v="PAY-7055"/>
    <n v="295"/>
    <n v="295"/>
    <n v="309.75"/>
    <n v="44"/>
    <n v="30"/>
    <n v="14"/>
    <m/>
  </r>
  <r>
    <x v="55"/>
    <x v="55"/>
    <d v="2026-09-09T00:00:00"/>
    <n v="1920.5"/>
    <x v="5"/>
    <s v="PAY-7056"/>
    <n v="960.25"/>
    <n v="960.25"/>
    <n v="1008.2625"/>
    <n v="41"/>
    <n v="30"/>
    <n v="11"/>
    <m/>
  </r>
  <r>
    <x v="56"/>
    <x v="56"/>
    <d v="2026-09-15T00:00:00"/>
    <n v="345.75"/>
    <x v="6"/>
    <s v="PAY-7057"/>
    <n v="172.875"/>
    <n v="172.875"/>
    <n v="176.33250000000001"/>
    <n v="35"/>
    <n v="30"/>
    <n v="5"/>
    <m/>
  </r>
  <r>
    <x v="57"/>
    <x v="57"/>
    <d v="2026-09-20T00:00:00"/>
    <n v="1080"/>
    <x v="7"/>
    <s v="PAY-7058"/>
    <n v="540"/>
    <n v="540"/>
    <n v="540"/>
    <n v="30"/>
    <n v="30"/>
    <s v=""/>
    <m/>
  </r>
  <r>
    <x v="58"/>
    <x v="58"/>
    <d v="2026-09-25T00:00:00"/>
    <n v="2420.25"/>
    <x v="8"/>
    <s v="PAY-7059"/>
    <n v="1210.125"/>
    <n v="1210.125"/>
    <n v="1210.125"/>
    <n v="25"/>
    <n v="30"/>
    <s v=""/>
    <m/>
  </r>
  <r>
    <x v="59"/>
    <x v="59"/>
    <d v="2026-10-02T00:00:00"/>
    <n v="695"/>
    <x v="9"/>
    <s v="PAY-7060"/>
    <n v="347.5"/>
    <n v="347.5"/>
    <n v="347.5"/>
    <n v="18"/>
    <n v="30"/>
    <s v=""/>
    <m/>
  </r>
  <r>
    <x v="60"/>
    <x v="60"/>
    <d v="2026-10-05T00:00:00"/>
    <n v="1325.5"/>
    <x v="0"/>
    <s v="PAY-7061"/>
    <n v="662.75"/>
    <n v="662.75"/>
    <n v="662.75"/>
    <n v="15"/>
    <n v="30"/>
    <s v=""/>
    <m/>
  </r>
  <r>
    <x v="61"/>
    <x v="61"/>
    <d v="2026-10-08T00:00:00"/>
    <n v="550"/>
    <x v="1"/>
    <s v="PAY-7062"/>
    <n v="275"/>
    <n v="275"/>
    <n v="275"/>
    <n v="12"/>
    <n v="30"/>
    <s v=""/>
    <m/>
  </r>
  <r>
    <x v="62"/>
    <x v="62"/>
    <d v="2026-10-11T00:00:00"/>
    <n v="2780.75"/>
    <x v="2"/>
    <s v="PAY-7063"/>
    <n v="1390.375"/>
    <n v="1390.375"/>
    <n v="1390.375"/>
    <n v="9"/>
    <n v="30"/>
    <s v=""/>
    <m/>
  </r>
  <r>
    <x v="63"/>
    <x v="63"/>
    <d v="2026-10-14T00:00:00"/>
    <n v="810"/>
    <x v="3"/>
    <s v="PAY-7064"/>
    <n v="405"/>
    <n v="405"/>
    <n v="405"/>
    <n v="6"/>
    <n v="30"/>
    <s v=""/>
    <m/>
  </r>
  <r>
    <x v="64"/>
    <x v="64"/>
    <d v="2026-10-16T00:00:00"/>
    <n v="1465.25"/>
    <x v="4"/>
    <s v="PAY-7065"/>
    <n v="732.625"/>
    <n v="732.625"/>
    <n v="732.625"/>
    <n v="4"/>
    <n v="30"/>
    <s v=""/>
    <m/>
  </r>
  <r>
    <x v="65"/>
    <x v="65"/>
    <d v="2026-08-17T00:00:00"/>
    <n v="430"/>
    <x v="5"/>
    <s v="PAY-7066"/>
    <n v="215"/>
    <n v="215"/>
    <n v="251.55"/>
    <n v="64"/>
    <n v="30"/>
    <n v="34"/>
    <m/>
  </r>
  <r>
    <x v="66"/>
    <x v="66"/>
    <d v="2026-08-21T00:00:00"/>
    <n v="1020.5"/>
    <x v="6"/>
    <s v="PAY-7067"/>
    <n v="510.25"/>
    <n v="510.25"/>
    <n v="596.99250000000006"/>
    <n v="60"/>
    <n v="30"/>
    <n v="30"/>
    <m/>
  </r>
  <r>
    <x v="67"/>
    <x v="67"/>
    <d v="2026-08-26T00:00:00"/>
    <n v="1735"/>
    <x v="7"/>
    <s v="PAY-7068"/>
    <n v="867.5"/>
    <n v="867.5"/>
    <n v="988.95"/>
    <n v="55"/>
    <n v="30"/>
    <n v="25"/>
    <m/>
  </r>
  <r>
    <x v="68"/>
    <x v="68"/>
    <d v="2026-08-31T00:00:00"/>
    <n v="290.75"/>
    <x v="8"/>
    <s v="PAY-7069"/>
    <n v="145.375"/>
    <n v="145.375"/>
    <n v="161.36625000000001"/>
    <n v="50"/>
    <n v="30"/>
    <n v="20"/>
    <m/>
  </r>
  <r>
    <x v="69"/>
    <x v="69"/>
    <d v="2026-09-01T00:00:00"/>
    <n v="1190"/>
    <x v="9"/>
    <s v="PAY-7070"/>
    <n v="595"/>
    <n v="595"/>
    <n v="642.6"/>
    <n v="49"/>
    <n v="30"/>
    <n v="19"/>
    <m/>
  </r>
  <r>
    <x v="70"/>
    <x v="70"/>
    <d v="2026-09-06T00:00:00"/>
    <n v="745.5"/>
    <x v="0"/>
    <s v="PAY-7071"/>
    <n v="372.75"/>
    <n v="372.75"/>
    <n v="391.38749999999999"/>
    <n v="44"/>
    <n v="30"/>
    <n v="14"/>
    <m/>
  </r>
  <r>
    <x v="71"/>
    <x v="71"/>
    <d v="2026-09-10T00:00:00"/>
    <n v="2280"/>
    <x v="1"/>
    <s v="PAY-7072"/>
    <n v="1140"/>
    <n v="1140"/>
    <n v="1197"/>
    <n v="40"/>
    <n v="30"/>
    <n v="10"/>
    <m/>
  </r>
  <r>
    <x v="72"/>
    <x v="72"/>
    <d v="2026-09-14T00:00:00"/>
    <n v="615.25"/>
    <x v="2"/>
    <s v="PAY-7073"/>
    <n v="307.625"/>
    <n v="307.625"/>
    <n v="313.77749999999997"/>
    <n v="36"/>
    <n v="30"/>
    <n v="6"/>
    <m/>
  </r>
  <r>
    <x v="73"/>
    <x v="73"/>
    <d v="2026-09-18T00:00:00"/>
    <n v="1410"/>
    <x v="3"/>
    <s v="PAY-7074"/>
    <n v="1410"/>
    <s v="Paid All"/>
    <n v="1410"/>
    <n v="32"/>
    <n v="30"/>
    <n v="2"/>
    <m/>
  </r>
  <r>
    <x v="74"/>
    <x v="74"/>
    <d v="2026-09-22T00:00:00"/>
    <n v="520.5"/>
    <x v="4"/>
    <s v="PAY-7075"/>
    <n v="260.25"/>
    <n v="260.25"/>
    <n v="260.25"/>
    <n v="28"/>
    <n v="30"/>
    <s v=""/>
    <m/>
  </r>
  <r>
    <x v="75"/>
    <x v="75"/>
    <d v="2026-09-26T00:00:00"/>
    <n v="1860.75"/>
    <x v="5"/>
    <s v="PAY-7076"/>
    <n v="930.375"/>
    <n v="930.375"/>
    <n v="930.375"/>
    <n v="24"/>
    <n v="30"/>
    <s v=""/>
    <m/>
  </r>
  <r>
    <x v="76"/>
    <x v="76"/>
    <d v="2026-09-30T00:00:00"/>
    <n v="365"/>
    <x v="6"/>
    <s v="PAY-7077"/>
    <n v="182.5"/>
    <n v="182.5"/>
    <n v="182.5"/>
    <n v="20"/>
    <n v="30"/>
    <s v=""/>
    <m/>
  </r>
  <r>
    <x v="77"/>
    <x v="77"/>
    <d v="2026-10-03T00:00:00"/>
    <n v="1095.25"/>
    <x v="7"/>
    <s v="PAY-7078"/>
    <n v="547.625"/>
    <n v="547.625"/>
    <n v="547.625"/>
    <n v="17"/>
    <n v="30"/>
    <s v=""/>
    <m/>
  </r>
  <r>
    <x v="78"/>
    <x v="78"/>
    <d v="2026-10-06T00:00:00"/>
    <n v="2525"/>
    <x v="8"/>
    <s v="PAY-7079"/>
    <n v="1262.5"/>
    <n v="1262.5"/>
    <n v="1262.5"/>
    <n v="14"/>
    <n v="30"/>
    <s v=""/>
    <m/>
  </r>
  <r>
    <x v="79"/>
    <x v="79"/>
    <d v="2026-10-09T00:00:00"/>
    <n v="680.5"/>
    <x v="9"/>
    <s v="PAY-7080"/>
    <n v="340.25"/>
    <n v="340.25"/>
    <n v="340.25"/>
    <n v="11"/>
    <n v="30"/>
    <s v=""/>
    <m/>
  </r>
  <r>
    <x v="80"/>
    <x v="80"/>
    <d v="2026-10-12T00:00:00"/>
    <n v="1155"/>
    <x v="0"/>
    <s v="PAY-7081"/>
    <n v="577.5"/>
    <n v="577.5"/>
    <n v="577.5"/>
    <n v="8"/>
    <n v="30"/>
    <s v=""/>
    <m/>
  </r>
  <r>
    <x v="81"/>
    <x v="81"/>
    <d v="2026-10-15T00:00:00"/>
    <n v="425.75"/>
    <x v="1"/>
    <s v="PAY-7082"/>
    <n v="212.875"/>
    <n v="212.875"/>
    <n v="212.875"/>
    <n v="5"/>
    <n v="30"/>
    <s v=""/>
    <m/>
  </r>
  <r>
    <x v="82"/>
    <x v="82"/>
    <d v="2026-10-16T00:00:00"/>
    <n v="2690"/>
    <x v="2"/>
    <s v="PAY-7083"/>
    <n v="1345"/>
    <n v="1345"/>
    <n v="1345"/>
    <n v="4"/>
    <n v="30"/>
    <s v=""/>
    <m/>
  </r>
  <r>
    <x v="83"/>
    <x v="83"/>
    <d v="2026-08-23T00:00:00"/>
    <n v="775.5"/>
    <x v="3"/>
    <s v="PAY-7084"/>
    <n v="387.75"/>
    <n v="387.75"/>
    <n v="442.03500000000003"/>
    <n v="58"/>
    <n v="30"/>
    <n v="28"/>
    <m/>
  </r>
  <r>
    <x v="84"/>
    <x v="84"/>
    <d v="2026-08-27T00:00:00"/>
    <n v="1495"/>
    <x v="4"/>
    <s v="PAY-7085"/>
    <n v="747.5"/>
    <n v="747.5"/>
    <n v="829.72500000000002"/>
    <n v="54"/>
    <n v="30"/>
    <n v="24"/>
    <m/>
  </r>
  <r>
    <x v="85"/>
    <x v="85"/>
    <d v="2026-09-01T00:00:00"/>
    <n v="585.25"/>
    <x v="5"/>
    <s v="PAY-7086"/>
    <n v="292.625"/>
    <n v="292.625"/>
    <n v="316.03500000000003"/>
    <n v="49"/>
    <n v="30"/>
    <n v="19"/>
    <m/>
  </r>
  <r>
    <x v="86"/>
    <x v="86"/>
    <d v="2026-09-05T00:00:00"/>
    <n v="965"/>
    <x v="6"/>
    <s v="PAY-7087"/>
    <n v="482.5"/>
    <n v="482.5"/>
    <n v="521.1"/>
    <n v="45"/>
    <n v="30"/>
    <n v="15"/>
    <m/>
  </r>
  <r>
    <x v="87"/>
    <x v="87"/>
    <d v="2026-09-09T00:00:00"/>
    <n v="1820.5"/>
    <x v="7"/>
    <s v="PAY-7088"/>
    <n v="910.25"/>
    <n v="910.25"/>
    <n v="955.76250000000005"/>
    <n v="41"/>
    <n v="30"/>
    <n v="11"/>
    <m/>
  </r>
  <r>
    <x v="88"/>
    <x v="88"/>
    <d v="2026-09-13T00:00:00"/>
    <n v="310"/>
    <x v="8"/>
    <s v="PAY-7089"/>
    <n v="155"/>
    <n v="155"/>
    <n v="158.1"/>
    <n v="37"/>
    <n v="30"/>
    <n v="7"/>
    <m/>
  </r>
  <r>
    <x v="89"/>
    <x v="89"/>
    <d v="2026-09-17T00:00:00"/>
    <n v="1265.75"/>
    <x v="9"/>
    <s v="PAY-7090"/>
    <n v="632.875"/>
    <n v="632.875"/>
    <n v="639.20375000000001"/>
    <n v="33"/>
    <n v="30"/>
    <n v="3"/>
    <m/>
  </r>
  <r>
    <x v="90"/>
    <x v="90"/>
    <d v="2026-09-21T00:00:00"/>
    <n v="695"/>
    <x v="0"/>
    <s v="PAY-7091"/>
    <n v="347.5"/>
    <n v="347.5"/>
    <n v="347.5"/>
    <n v="29"/>
    <n v="30"/>
    <s v=""/>
    <m/>
  </r>
  <r>
    <x v="91"/>
    <x v="91"/>
    <d v="2026-09-25T00:00:00"/>
    <n v="2190.25"/>
    <x v="1"/>
    <s v="PAY-7092"/>
    <n v="1095.125"/>
    <n v="1095.125"/>
    <n v="1095.125"/>
    <n v="25"/>
    <n v="30"/>
    <s v=""/>
    <m/>
  </r>
  <r>
    <x v="92"/>
    <x v="92"/>
    <d v="2026-09-29T00:00:00"/>
    <n v="830"/>
    <x v="2"/>
    <s v="PAY-7093"/>
    <n v="830"/>
    <s v="Paid All"/>
    <n v="830"/>
    <n v="21"/>
    <n v="30"/>
    <s v=""/>
    <m/>
  </r>
  <r>
    <x v="93"/>
    <x v="93"/>
    <d v="2026-10-04T00:00:00"/>
    <n v="455.5"/>
    <x v="3"/>
    <s v="PAY-7094"/>
    <n v="227.75"/>
    <n v="227.75"/>
    <n v="227.75"/>
    <n v="16"/>
    <n v="30"/>
    <s v=""/>
    <m/>
  </r>
  <r>
    <x v="94"/>
    <x v="94"/>
    <d v="2026-10-07T00:00:00"/>
    <n v="2575"/>
    <x v="4"/>
    <s v="PAY-7095"/>
    <n v="1287.5"/>
    <n v="1287.5"/>
    <n v="1287.5"/>
    <n v="13"/>
    <n v="30"/>
    <s v=""/>
    <m/>
  </r>
  <r>
    <x v="95"/>
    <x v="95"/>
    <d v="2026-09-02T00:00:00"/>
    <n v="725.25"/>
    <x v="5"/>
    <s v="PAY-7096"/>
    <n v="362.625"/>
    <n v="362.625"/>
    <n v="391.63499999999999"/>
    <n v="48"/>
    <n v="30"/>
    <n v="18"/>
    <m/>
  </r>
  <r>
    <x v="96"/>
    <x v="96"/>
    <d v="2026-10-07T00:00:00"/>
    <n v="1035"/>
    <x v="6"/>
    <s v="PAY-7097"/>
    <n v="517.5"/>
    <n v="517.5"/>
    <n v="517.5"/>
    <n v="13"/>
    <n v="30"/>
    <s v=""/>
    <m/>
  </r>
  <r>
    <x v="97"/>
    <x v="97"/>
    <d v="2026-07-21T00:00:00"/>
    <n v="1695.5"/>
    <x v="7"/>
    <s v="PAY-7098"/>
    <n v="847.75"/>
    <n v="847.75"/>
    <n v="1144.4625000000001"/>
    <n v="91"/>
    <n v="30"/>
    <n v="61"/>
    <m/>
  </r>
  <r>
    <x v="98"/>
    <x v="98"/>
    <d v="2026-10-30T00:00:00"/>
    <n v="335.75"/>
    <x v="8"/>
    <s v="PAY-7099"/>
    <n v="167.875"/>
    <n v="167.875"/>
    <n v="167.875"/>
    <n v="-10"/>
    <n v="30"/>
    <s v=""/>
    <m/>
  </r>
  <r>
    <x v="99"/>
    <x v="99"/>
    <d v="2026-08-19T00:00:00"/>
    <n v="1285"/>
    <x v="9"/>
    <s v="PAY-7100"/>
    <n v="642.5"/>
    <n v="642.5"/>
    <n v="751.72500000000002"/>
    <n v="62"/>
    <n v="30"/>
    <n v="3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3F473-E4A5-426E-BC73-91907BB6A375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8:W19" firstHeaderRow="1" firstDataRow="1" firstDataCol="1"/>
  <pivotFields count="13">
    <pivotField dataField="1" showAll="0"/>
    <pivotField axis="axisRow" showAll="0">
      <items count="101">
        <item x="64"/>
        <item x="54"/>
        <item x="48"/>
        <item x="22"/>
        <item x="77"/>
        <item x="1"/>
        <item x="88"/>
        <item x="97"/>
        <item x="92"/>
        <item x="71"/>
        <item x="26"/>
        <item x="41"/>
        <item x="5"/>
        <item x="79"/>
        <item x="40"/>
        <item x="62"/>
        <item x="10"/>
        <item x="35"/>
        <item x="74"/>
        <item x="75"/>
        <item x="66"/>
        <item x="33"/>
        <item x="42"/>
        <item x="70"/>
        <item x="52"/>
        <item x="89"/>
        <item x="82"/>
        <item x="73"/>
        <item x="17"/>
        <item x="29"/>
        <item x="15"/>
        <item x="61"/>
        <item x="55"/>
        <item x="30"/>
        <item x="23"/>
        <item x="34"/>
        <item x="25"/>
        <item x="28"/>
        <item x="19"/>
        <item x="84"/>
        <item x="2"/>
        <item x="63"/>
        <item x="7"/>
        <item x="51"/>
        <item x="4"/>
        <item x="20"/>
        <item x="65"/>
        <item x="69"/>
        <item x="60"/>
        <item x="3"/>
        <item x="27"/>
        <item x="8"/>
        <item x="18"/>
        <item x="93"/>
        <item x="76"/>
        <item x="46"/>
        <item x="24"/>
        <item x="9"/>
        <item x="80"/>
        <item x="32"/>
        <item x="95"/>
        <item x="59"/>
        <item x="43"/>
        <item x="85"/>
        <item x="36"/>
        <item x="49"/>
        <item x="90"/>
        <item x="67"/>
        <item x="11"/>
        <item x="72"/>
        <item x="39"/>
        <item x="83"/>
        <item x="58"/>
        <item x="6"/>
        <item x="0"/>
        <item x="81"/>
        <item x="14"/>
        <item x="86"/>
        <item x="94"/>
        <item x="47"/>
        <item x="21"/>
        <item x="68"/>
        <item x="78"/>
        <item x="87"/>
        <item x="31"/>
        <item x="56"/>
        <item x="44"/>
        <item x="91"/>
        <item x="50"/>
        <item x="45"/>
        <item x="13"/>
        <item x="37"/>
        <item x="96"/>
        <item x="38"/>
        <item x="12"/>
        <item x="98"/>
        <item x="99"/>
        <item x="53"/>
        <item x="16"/>
        <item x="57"/>
        <item t="default"/>
      </items>
    </pivotField>
    <pivotField showAll="0"/>
    <pivotField showAll="0"/>
    <pivotField axis="axisRow" showAll="0">
      <items count="11">
        <item sd="0" x="1"/>
        <item sd="0" x="2"/>
        <item sd="0" x="6"/>
        <item sd="0" x="5"/>
        <item sd="0" x="3"/>
        <item sd="0" x="0"/>
        <item sd="0" x="4"/>
        <item sd="0" x="7"/>
        <item sd="0" x="8"/>
        <item sd="0"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nvoice Number" fld="0" subtotal="count" baseField="0" baseItem="0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4" type="button" dataOnly="0" labelOnly="1" outline="0" axis="axisRow" fieldPosition="0"/>
    </format>
    <format dxfId="92">
      <pivotArea dataOnly="0" labelOnly="1" fieldPosition="0">
        <references count="1">
          <reference field="4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D77B3-D7C6-4C80-9EF8-06F7715E0D9D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Q8:T19" firstHeaderRow="0" firstDataRow="1" firstDataCol="1"/>
  <pivotFields count="13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axis="axisRow" showAll="0">
      <items count="11">
        <item sd="0" x="1"/>
        <item sd="0" x="2"/>
        <item sd="0" x="6"/>
        <item sd="0" x="5"/>
        <item sd="0" x="3"/>
        <item sd="0" x="0"/>
        <item sd="0" x="4"/>
        <item sd="0" x="7"/>
        <item sd="0" x="8"/>
        <item sd="0" x="9"/>
        <item t="default" sd="0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2">
    <field x="4"/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utstanding Amount" fld="7" baseField="0" baseItem="0"/>
    <dataField name="Sum of Amounts Paid" fld="8" baseField="0" baseItem="0"/>
    <dataField name="Sum of Deposit Amount" fld="6" baseField="0" baseItem="0"/>
  </dataFields>
  <formats count="17">
    <format dxfId="112">
      <pivotArea grandRow="1" outline="0" collapsedLevelsAreSubtotals="1" fieldPosition="0"/>
    </format>
    <format dxfId="111">
      <pivotArea collapsedLevelsAreSubtotals="1" fieldPosition="0">
        <references count="1">
          <reference field="4" count="1">
            <x v="0"/>
          </reference>
        </references>
      </pivotArea>
    </format>
    <format dxfId="110">
      <pivotArea collapsedLevelsAreSubtotals="1" fieldPosition="0">
        <references count="1">
          <reference field="4" count="1">
            <x v="1"/>
          </reference>
        </references>
      </pivotArea>
    </format>
    <format dxfId="109">
      <pivotArea collapsedLevelsAreSubtotals="1" fieldPosition="0">
        <references count="1">
          <reference field="4" count="1">
            <x v="2"/>
          </reference>
        </references>
      </pivotArea>
    </format>
    <format dxfId="108">
      <pivotArea collapsedLevelsAreSubtotals="1" fieldPosition="0">
        <references count="1">
          <reference field="4" count="1">
            <x v="3"/>
          </reference>
        </references>
      </pivotArea>
    </format>
    <format dxfId="107">
      <pivotArea collapsedLevelsAreSubtotals="1" fieldPosition="0">
        <references count="1">
          <reference field="4" count="1">
            <x v="4"/>
          </reference>
        </references>
      </pivotArea>
    </format>
    <format dxfId="106">
      <pivotArea collapsedLevelsAreSubtotals="1" fieldPosition="0">
        <references count="1">
          <reference field="4" count="1">
            <x v="5"/>
          </reference>
        </references>
      </pivotArea>
    </format>
    <format dxfId="105">
      <pivotArea collapsedLevelsAreSubtotals="1" fieldPosition="0">
        <references count="1">
          <reference field="4" count="1">
            <x v="6"/>
          </reference>
        </references>
      </pivotArea>
    </format>
    <format dxfId="104">
      <pivotArea collapsedLevelsAreSubtotals="1" fieldPosition="0">
        <references count="1">
          <reference field="4" count="1">
            <x v="7"/>
          </reference>
        </references>
      </pivotArea>
    </format>
    <format dxfId="103">
      <pivotArea collapsedLevelsAreSubtotals="1" fieldPosition="0">
        <references count="1">
          <reference field="4" count="1">
            <x v="8"/>
          </reference>
        </references>
      </pivotArea>
    </format>
    <format dxfId="102">
      <pivotArea collapsedLevelsAreSubtotals="1" fieldPosition="0">
        <references count="1">
          <reference field="4" count="1">
            <x v="9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4" type="button" dataOnly="0" labelOnly="1" outline="0" axis="axisRow" fieldPosition="0"/>
    </format>
    <format dxfId="98">
      <pivotArea dataOnly="0" labelOnly="1" fieldPosition="0">
        <references count="1">
          <reference field="4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6642B3-356B-4814-9A37-71095E3DD169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8:N19" firstHeaderRow="1" firstDataRow="1" firstDataCol="1"/>
  <pivotFields count="13">
    <pivotField showAll="0"/>
    <pivotField showAll="0"/>
    <pivotField showAll="0"/>
    <pivotField showAll="0"/>
    <pivotField axis="axisRow" showAll="0">
      <items count="11">
        <item x="1"/>
        <item x="2"/>
        <item x="6"/>
        <item x="5"/>
        <item x="3"/>
        <item x="0"/>
        <item x="4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s Paid" fld="8" baseField="0" baseItem="0"/>
  </dataFields>
  <formats count="8">
    <format dxfId="120">
      <pivotArea grandRow="1" outline="0" collapsedLevelsAreSubtotals="1" fieldPosition="0"/>
    </format>
    <format dxfId="119">
      <pivotArea collapsedLevelsAreSubtotals="1" fieldPosition="0">
        <references count="1">
          <reference field="4" count="0"/>
        </references>
      </pivotArea>
    </format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4" type="button" dataOnly="0" labelOnly="1" outline="0" axis="axisRow" fieldPosition="0"/>
    </format>
    <format dxfId="115">
      <pivotArea dataOnly="0" labelOnly="1" fieldPosition="0">
        <references count="1">
          <reference field="4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3AC18-9037-4BAB-991D-5D1D50C6CDFF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8:K19" firstHeaderRow="1" firstDataRow="1" firstDataCol="1"/>
  <pivotFields count="13">
    <pivotField showAll="0"/>
    <pivotField showAll="0"/>
    <pivotField showAll="0"/>
    <pivotField showAll="0"/>
    <pivotField axis="axisRow" showAll="0">
      <items count="11">
        <item x="1"/>
        <item x="2"/>
        <item x="6"/>
        <item x="5"/>
        <item x="3"/>
        <item x="0"/>
        <item x="4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eposit Amount" fld="6" baseField="0" baseItem="0"/>
  </dataFields>
  <formats count="8">
    <format dxfId="128">
      <pivotArea grandRow="1" outline="0" collapsedLevelsAreSubtotals="1" fieldPosition="0"/>
    </format>
    <format dxfId="127">
      <pivotArea collapsedLevelsAreSubtotals="1" fieldPosition="0">
        <references count="1">
          <reference field="4" count="0"/>
        </references>
      </pivotArea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4" type="button" dataOnly="0" labelOnly="1" outline="0" axis="axisRow" fieldPosition="0"/>
    </format>
    <format dxfId="123">
      <pivotArea dataOnly="0" labelOnly="1" fieldPosition="0">
        <references count="1">
          <reference field="4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4CE26-BE80-45D0-8CEF-E924D5CABB95}" name="Table1" displayName="Table1" ref="A1:F103" totalsRowShown="0" headerRowDxfId="89" dataDxfId="88">
  <autoFilter ref="A1:F103" xr:uid="{0BC4CE26-BE80-45D0-8CEF-E924D5CABB95}"/>
  <tableColumns count="6">
    <tableColumn id="1" xr3:uid="{9745FC9C-E8EE-498B-836D-42C4D17CD61D}" name="Customer Invoice Number" dataDxfId="87"/>
    <tableColumn id="2" xr3:uid="{37F501F0-F279-4E31-A6BA-61131E7D38AC}" name="Customer Name" dataDxfId="86"/>
    <tableColumn id="3" xr3:uid="{64D2407B-AC58-4ACA-BAB7-8BDBC58222FC}" name="Date of Invoice" dataDxfId="85"/>
    <tableColumn id="4" xr3:uid="{A2C63973-030D-4BE5-97C3-554DCDC8DFB8}" name="Invoice Amount (£)" dataDxfId="84"/>
    <tableColumn id="5" xr3:uid="{558A7408-FD9A-4E04-9DA4-286F09E4A936}" name="Note" dataDxfId="83"/>
    <tableColumn id="6" xr3:uid="{48FAC9A7-059B-46AB-85A8-1F1D84AEB837}" name="Payment Reference" dataDxfId="8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BF314C-B3A9-4E27-85BF-EEE0CEF648E9}" name="Table3" displayName="Table3" ref="C5:N111" totalsRowCount="1" headerRowDxfId="81" dataDxfId="80" tableBorderDxfId="79">
  <autoFilter ref="C5:N110" xr:uid="{D1BF314C-B3A9-4E27-85BF-EEE0CEF648E9}"/>
  <tableColumns count="12">
    <tableColumn id="1" xr3:uid="{5863818E-05FA-418D-8A49-2741F5CF5464}" name="S.NO" dataDxfId="78" totalsRowDxfId="11">
      <calculatedColumnFormula>C5+1</calculatedColumnFormula>
    </tableColumn>
    <tableColumn id="2" xr3:uid="{A4CB5ABA-E482-48F6-83FA-3D1E005AEF5D}" name="Invoice Number" totalsRowDxfId="10">
      <calculatedColumnFormula>IR!A2</calculatedColumnFormula>
    </tableColumn>
    <tableColumn id="3" xr3:uid="{D44592F7-0D0A-4DAD-9E01-3370B5DFD416}" name="Customer Name" totalsRowDxfId="9">
      <calculatedColumnFormula>VLOOKUP(PR!$D6,IR!$A$2:$F$101,2)</calculatedColumnFormula>
    </tableColumn>
    <tableColumn id="4" xr3:uid="{B584F3A5-826A-4368-835C-C913BFE72A41}" name="Date of invoice" dataDxfId="77" totalsRowDxfId="8">
      <calculatedColumnFormula>VLOOKUP(PR!$D6,IR!$A$2:$F$101,3)</calculatedColumnFormula>
    </tableColumn>
    <tableColumn id="5" xr3:uid="{B8D7ADE1-B4F4-4D42-8A51-151082D65600}" name="Invoice Amount" dataDxfId="76" totalsRowDxfId="7">
      <calculatedColumnFormula>VLOOKUP(PR!$D6,IR!$A$2:$F$101,4)</calculatedColumnFormula>
    </tableColumn>
    <tableColumn id="6" xr3:uid="{F9039513-6C9F-41EC-984B-72AA42E0124C}" name="Payment Note" dataDxfId="75" totalsRowDxfId="6">
      <calculatedColumnFormula>VLOOKUP(PR!$D6,IR!$A$2:$F$101,5)</calculatedColumnFormula>
    </tableColumn>
    <tableColumn id="7" xr3:uid="{CBCD40A4-3FE7-4BAF-BDD7-9F78F803F156}" name="Payment Refence" dataDxfId="74" totalsRowDxfId="5">
      <calculatedColumnFormula>VLOOKUP(PR!$D6,IR!$A$2:$F$101,6)</calculatedColumnFormula>
    </tableColumn>
    <tableColumn id="8" xr3:uid="{147A640E-6E53-4FBB-99F6-63567F32F877}" name="Input Amount (If paid)" totalsRowFunction="sum" dataDxfId="73" totalsRowDxfId="4"/>
    <tableColumn id="9" xr3:uid="{220F5175-7533-4427-B55F-0CC3C2FE4362}" name="Date of Deposit" dataDxfId="72" totalsRowDxfId="3">
      <calculatedColumnFormula>WORKDAY(Table3[[#This Row],[Date of invoice]],2)</calculatedColumnFormula>
    </tableColumn>
    <tableColumn id="10" xr3:uid="{A6DD8476-A244-4FE5-ACE0-C6EBC9358034}" name="Deposit Amount" totalsRowFunction="sum" dataDxfId="71" totalsRowDxfId="2">
      <calculatedColumnFormula>IF(PR!$J6=0,PR!$G6*50%,PR!$J6)</calculatedColumnFormula>
    </tableColumn>
    <tableColumn id="11" xr3:uid="{ECDDCEE1-628B-4A9B-85D2-19FC34DFBA0E}" name="Outstanding Amount" totalsRowFunction="sum" dataDxfId="70" totalsRowDxfId="1">
      <calculatedColumnFormula>IF(L6=G6,"Paid All",G6-L6)</calculatedColumnFormula>
    </tableColumn>
    <tableColumn id="12" xr3:uid="{DE5B8904-12D2-4257-99BF-97F0717603F2}" name="Amounts Paid" totalsRowFunction="sum" dataDxfId="69" totalsRowDxfId="0">
      <calculatedColumnFormula>ARD!L12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C5C760-C3AF-460C-923A-D9BE01795228}" name="Table4" displayName="Table4" ref="B4:M109" totalsRowShown="0" headerRowDxfId="68" tableBorderDxfId="67">
  <autoFilter ref="B4:M109" xr:uid="{43C5C760-C3AF-460C-923A-D9BE01795228}"/>
  <tableColumns count="12">
    <tableColumn id="1" xr3:uid="{9F4E8100-A972-411F-971E-A1C9FF71390D}" name="S.NO "/>
    <tableColumn id="2" xr3:uid="{BE2B3329-71CB-48E2-BFE3-FB86D78275DE}" name="Invoice Number" dataDxfId="66">
      <calculatedColumnFormula>IR!A2</calculatedColumnFormula>
    </tableColumn>
    <tableColumn id="3" xr3:uid="{CA35E116-3940-43B8-B593-247A2AF6343A}" name="Customer Name" dataDxfId="65">
      <calculatedColumnFormula>VLOOKUP(Table4[[#This Row],[Invoice Number]],PR!$D$6:$I$110,2)</calculatedColumnFormula>
    </tableColumn>
    <tableColumn id="4" xr3:uid="{9104236E-CD0B-46B6-8F05-6DA6472D7D65}" name="Date of invoice" dataDxfId="64">
      <calculatedColumnFormula>VLOOKUP(Table4[[#This Row],[Invoice Number]],PR!$D$6:$I$110,3)</calculatedColumnFormula>
    </tableColumn>
    <tableColumn id="5" xr3:uid="{B7C898D0-AA3A-4406-88B7-D99A74E65DB1}" name="Invoice Amount" dataDxfId="63">
      <calculatedColumnFormula>VLOOKUP(Table4[[#This Row],[Invoice Number]],PR!$D$6:$I$110,4)</calculatedColumnFormula>
    </tableColumn>
    <tableColumn id="6" xr3:uid="{EFBA2BB6-278E-4A12-8E9F-0C9761BBEDE9}" name="Payment Note" dataDxfId="62">
      <calculatedColumnFormula>VLOOKUP(Table4[[#This Row],[Invoice Number]],PR!$D$6:$I$110,5)</calculatedColumnFormula>
    </tableColumn>
    <tableColumn id="7" xr3:uid="{DDCC3382-3FFC-4B4C-9E2C-A94E14ADF85D}" name="Payment Refence" dataDxfId="61">
      <calculatedColumnFormula>VLOOKUP(Table4[[#This Row],[Invoice Number]],PR!$D$6:$I$110,6)</calculatedColumnFormula>
    </tableColumn>
    <tableColumn id="8" xr3:uid="{F01BEF45-142D-4531-A03E-874120E270D6}" name="Date of Deposit" dataDxfId="60"/>
    <tableColumn id="9" xr3:uid="{B2AB5C33-30F4-412C-B6C5-1A1A41485E52}" name="Deposit Amount" dataDxfId="59">
      <calculatedColumnFormula>VLOOKUP(Table4[[#This Row],[Invoice Number]],PR!$D$6:$M$110,9)</calculatedColumnFormula>
    </tableColumn>
    <tableColumn id="10" xr3:uid="{CA3B344F-966B-47CF-B051-BE0E2A6914C8}" name="Outstanding Amount" dataDxfId="58">
      <calculatedColumnFormula>VLOOKUP(Table4[[#This Row],[Invoice Number]],PR!$D$6:$M$110,10)</calculatedColumnFormula>
    </tableColumn>
    <tableColumn id="11" xr3:uid="{54CCF021-9649-4CAE-A9F7-CBBEC6748F08}" name="Amounts Paid" dataDxfId="57">
      <calculatedColumnFormula>PR!N6</calculatedColumnFormula>
    </tableColumn>
    <tableColumn id="12" xr3:uid="{EAFD8082-37B1-401C-8FD0-8635AE5F602F}" name="Credit Terms (Days)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9E1E6-B315-475C-8DE9-7CEC700F8748}" name="Table2" displayName="Table2" ref="C11:P117" totalsRowCount="1" headerRowDxfId="56">
  <autoFilter ref="C11:P116" xr:uid="{9319E1E6-B315-475C-8DE9-7CEC700F8748}"/>
  <tableColumns count="14">
    <tableColumn id="1" xr3:uid="{8B4EDD14-2F05-43C0-A9C5-9EEFA227F982}" name="S.no" totalsRowDxfId="55">
      <calculatedColumnFormula>C11+1</calculatedColumnFormula>
    </tableColumn>
    <tableColumn id="2" xr3:uid="{B5F567FF-594A-438D-81BA-B9E57AC557E0}" name="Invoice Number" dataDxfId="54" totalsRowDxfId="53">
      <calculatedColumnFormula>PR!D6</calculatedColumnFormula>
    </tableColumn>
    <tableColumn id="3" xr3:uid="{FAEA2D95-965B-4E40-A8BE-541704D925E8}" name="Customer Name" dataDxfId="52" totalsRowDxfId="51">
      <calculatedColumnFormula>VLOOKUP(Table2[[#This Row],[Invoice Number]],Table4[[Invoice Number]:[Payment Refence]],2)</calculatedColumnFormula>
    </tableColumn>
    <tableColumn id="4" xr3:uid="{82FC3F4F-165B-4AF5-95FC-A6BE77C2D4D7}" name="Date of invoice" dataDxfId="50" totalsRowDxfId="49">
      <calculatedColumnFormula>VLOOKUP(Table2[[#This Row],[Invoice Number]],Table4[[Invoice Number]:[Payment Refence]],3)</calculatedColumnFormula>
    </tableColumn>
    <tableColumn id="5" xr3:uid="{EF829DAD-C138-49B2-92D0-AA8EB3DA59D1}" name="Invoice Amount" dataDxfId="48" totalsRowDxfId="47">
      <calculatedColumnFormula>VLOOKUP(Table2[[#This Row],[Invoice Number]],Table4[[Invoice Number]:[Payment Refence]],4)</calculatedColumnFormula>
    </tableColumn>
    <tableColumn id="6" xr3:uid="{8E073EB5-CC90-4765-B91A-0645D4271C80}" name="Payment Note" dataDxfId="46" totalsRowDxfId="45">
      <calculatedColumnFormula>VLOOKUP(Table2[[#This Row],[Invoice Number]],Table4[[Invoice Number]:[Payment Refence]],5)</calculatedColumnFormula>
    </tableColumn>
    <tableColumn id="7" xr3:uid="{864FC285-3757-4275-8116-A3143938B579}" name="Payment Refence" dataDxfId="44" totalsRowDxfId="43">
      <calculatedColumnFormula>VLOOKUP(Table2[[#This Row],[Invoice Number]],Table4[[Invoice Number]:[Payment Refence]],6)</calculatedColumnFormula>
    </tableColumn>
    <tableColumn id="8" xr3:uid="{0402094E-FBEB-4947-9EE0-F3341170268E}" name="Deposit Amount" dataDxfId="42">
      <calculatedColumnFormula>VLOOKUP(Table2[[#This Row],[Invoice Number]],PR!$D$6:$M$110,9)</calculatedColumnFormula>
    </tableColumn>
    <tableColumn id="10" xr3:uid="{C955B22A-98AA-4CEB-805F-95143B3FF2F3}" name="Outstanding Amount" dataDxfId="41">
      <calculatedColumnFormula>CT!K5</calculatedColumnFormula>
    </tableColumn>
    <tableColumn id="11" xr3:uid="{5575F9C4-A911-4AB5-B0E0-1A8D6BFB7D04}" name="Amounts Paid" dataDxfId="40">
      <calculatedColumnFormula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calculatedColumnFormula>
    </tableColumn>
    <tableColumn id="12" xr3:uid="{24FF3C6A-6D6A-499C-82D5-DBF51C6A5130}" name="Days Of Credit" dataDxfId="39">
      <calculatedColumnFormula>IF(Table2[[#This Row],[Outstanding Amount]]&gt;1,$F$8-Table2[[#This Row],[Date of invoice]],"")</calculatedColumnFormula>
    </tableColumn>
    <tableColumn id="15" xr3:uid="{91CBC357-D834-42D8-806E-B6FBC9FB8239}" name="Credit Terms" dataDxfId="38" totalsRowDxfId="37">
      <calculatedColumnFormula>CT!M5</calculatedColumnFormula>
    </tableColumn>
    <tableColumn id="9" xr3:uid="{392B6F0D-046D-4BA6-B65E-E41CD635CCF6}" name="Due Days" dataDxfId="36">
      <calculatedColumnFormula>IF(OR(Table2[[#This Row],[Days Of Credit]]="",Table2[[#This Row],[Days Of Credit]]=Table2[[#This Row],[Credit Terms]],Table2[[#This Row],[Days Of Credit]]&lt;Table2[[#This Row],[Credit Terms]]),"",Table2[[#This Row],[Days Of Credit]]-Table2[[#This Row],[Credit Terms]])</calculatedColumnFormula>
    </tableColumn>
    <tableColumn id="13" xr3:uid="{F3F8392B-9A1E-416D-AF26-11CDB94448AB}" name="Column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CF8E9F-3B68-4A35-9BE2-8EE6A31D52EA}" name="Table6" displayName="Table6" ref="C7:Q112" totalsRowShown="0" headerRowDxfId="35" dataDxfId="33" headerRowBorderDxfId="34" tableBorderDxfId="32">
  <autoFilter ref="C7:Q112" xr:uid="{91CF8E9F-3B68-4A35-9BE2-8EE6A31D52EA}"/>
  <tableColumns count="15">
    <tableColumn id="1" xr3:uid="{81E877B5-87BE-4FB0-90E0-1AEBBD6A0233}" name="S.NO" dataDxfId="31">
      <calculatedColumnFormula>C7+1</calculatedColumnFormula>
    </tableColumn>
    <tableColumn id="2" xr3:uid="{E407BCB5-AAE3-4E25-8059-B133CE1EC076}" name="Invoice Number" dataDxfId="30">
      <calculatedColumnFormula>PR!D6</calculatedColumnFormula>
    </tableColumn>
    <tableColumn id="3" xr3:uid="{FFBCD5E3-F565-41FC-AE4F-12CCEC90282A}" name="Customer Name" dataDxfId="29">
      <calculatedColumnFormula>PR!E6</calculatedColumnFormula>
    </tableColumn>
    <tableColumn id="4" xr3:uid="{0AE1C294-1AC5-4A6C-A79B-F42D11985C9E}" name="Date of invoice" dataDxfId="28">
      <calculatedColumnFormula>PR!F6</calculatedColumnFormula>
    </tableColumn>
    <tableColumn id="5" xr3:uid="{8E451952-256F-487A-8E5E-2709F4226AC4}" name="Invoice Amount" dataDxfId="27">
      <calculatedColumnFormula>PR!G6</calculatedColumnFormula>
    </tableColumn>
    <tableColumn id="6" xr3:uid="{6D873841-05B1-459D-87A8-E8E1419F52E8}" name="Payment Note" dataDxfId="26">
      <calculatedColumnFormula>PR!H6</calculatedColumnFormula>
    </tableColumn>
    <tableColumn id="7" xr3:uid="{B9D846B9-B5A1-49C2-A04F-1C7F91347501}" name="Payment Refence" dataDxfId="25">
      <calculatedColumnFormula>PR!I6</calculatedColumnFormula>
    </tableColumn>
    <tableColumn id="8" xr3:uid="{C308D739-EA18-4CC0-83B7-B41A7DD91910}" name="Input Amount (If paid)" dataDxfId="24">
      <calculatedColumnFormula>PR!J6</calculatedColumnFormula>
    </tableColumn>
    <tableColumn id="9" xr3:uid="{96B60E85-FA16-4C33-9329-FC2238DAC485}" name="Date of Deposit" dataDxfId="23">
      <calculatedColumnFormula>PR!K6</calculatedColumnFormula>
    </tableColumn>
    <tableColumn id="10" xr3:uid="{0FBE1ABF-5F2F-408A-88E8-44BB2B1BFFE7}" name="Deposit Amount" dataDxfId="22">
      <calculatedColumnFormula>PR!L6</calculatedColumnFormula>
    </tableColumn>
    <tableColumn id="11" xr3:uid="{6478565F-9C84-4690-96BE-166315A04CEC}" name="Outstanding Amount" dataDxfId="21">
      <calculatedColumnFormula>PR!M6</calculatedColumnFormula>
    </tableColumn>
    <tableColumn id="12" xr3:uid="{BA4DAA70-86BD-4903-B79B-08EF1D2842F8}" name="Amounts Paid" dataDxfId="20">
      <calculatedColumnFormula>PR!N6</calculatedColumnFormula>
    </tableColumn>
    <tableColumn id="13" xr3:uid="{FB308FEA-0758-4AC9-9B02-8B2050B4411D}" name="Status Code" dataDxfId="19">
      <calculatedColumnFormula>IF(Table6[[#This Row],[Outstanding Amount]]="Paid All","P",IF(Table6[[#This Row],[Outstanding Amount]]&lt;0,"U","D"))</calculatedColumnFormula>
    </tableColumn>
    <tableColumn id="14" xr3:uid="{E8B89625-5163-42A5-9777-76CB5CC3E0CC}" name="Status " dataDxfId="18">
      <calculatedColumnFormula>IF(Table6[[#This Row],[Status Code]]="D","DUE",IF(Table6[[#This Row],[Status Code]]="U","UNPAID","PAID"))</calculatedColumnFormula>
    </tableColumn>
    <tableColumn id="15" xr3:uid="{2417BA34-4022-47EE-A6E5-6DE44CDC9BF2}" name="Overpaid Amount" dataDxfId="17">
      <calculatedColumnFormula>IF(Table6[[#This Row],[Status ]]="UNPAID",Table6[[#This Row],[Outstanding Amount]],"")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comments" Target="../comments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2212-B2D9-4CFA-BB35-469750954985}">
  <dimension ref="B2:U44"/>
  <sheetViews>
    <sheetView topLeftCell="A3" zoomScale="70" zoomScaleNormal="70" workbookViewId="0">
      <selection activeCell="B3" sqref="B3:U5"/>
    </sheetView>
  </sheetViews>
  <sheetFormatPr defaultRowHeight="14.4" x14ac:dyDescent="0.3"/>
  <sheetData>
    <row r="2" spans="2:21" ht="15" thickBot="1" x14ac:dyDescent="0.35"/>
    <row r="3" spans="2:21" x14ac:dyDescent="0.3">
      <c r="B3" s="112" t="s">
        <v>0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4"/>
    </row>
    <row r="4" spans="2:21" x14ac:dyDescent="0.3">
      <c r="B4" s="115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7"/>
    </row>
    <row r="5" spans="2:21" ht="15" thickBot="1" x14ac:dyDescent="0.35">
      <c r="B5" s="118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20"/>
    </row>
    <row r="6" spans="2:21" x14ac:dyDescent="0.3">
      <c r="B6" s="7"/>
      <c r="C6" s="8"/>
      <c r="D6" s="8"/>
      <c r="E6" s="8"/>
      <c r="F6" s="8"/>
      <c r="G6" s="8"/>
      <c r="H6" s="8"/>
      <c r="I6" s="8"/>
      <c r="J6" s="8"/>
      <c r="K6" s="9"/>
      <c r="L6" s="11"/>
      <c r="M6" s="11"/>
      <c r="N6" s="11"/>
      <c r="O6" s="11"/>
      <c r="P6" s="11"/>
      <c r="Q6" s="11"/>
      <c r="R6" s="11"/>
      <c r="S6" s="11"/>
      <c r="T6" s="11"/>
      <c r="U6" s="12"/>
    </row>
    <row r="7" spans="2:21" x14ac:dyDescent="0.3">
      <c r="B7" s="10"/>
      <c r="C7" s="11"/>
      <c r="D7" s="11"/>
      <c r="E7" s="11"/>
      <c r="F7" s="11"/>
      <c r="G7" s="11"/>
      <c r="H7" s="11"/>
      <c r="I7" s="11"/>
      <c r="J7" s="11"/>
      <c r="K7" s="12"/>
      <c r="L7" s="11"/>
      <c r="M7" s="11"/>
      <c r="N7" s="11"/>
      <c r="O7" s="11"/>
      <c r="P7" s="11"/>
      <c r="Q7" s="11"/>
      <c r="R7" s="11"/>
      <c r="S7" s="11"/>
      <c r="T7" s="11"/>
      <c r="U7" s="12"/>
    </row>
    <row r="8" spans="2:21" x14ac:dyDescent="0.3">
      <c r="B8" s="10"/>
      <c r="C8" s="11"/>
      <c r="D8" s="11"/>
      <c r="E8" s="11"/>
      <c r="F8" s="11"/>
      <c r="G8" s="11"/>
      <c r="H8" s="11"/>
      <c r="I8" s="11"/>
      <c r="J8" s="11"/>
      <c r="K8" s="12"/>
      <c r="L8" s="11"/>
      <c r="M8" s="11"/>
      <c r="N8" s="16" t="s">
        <v>1</v>
      </c>
      <c r="O8" s="11"/>
      <c r="P8" s="11"/>
      <c r="Q8" s="11"/>
      <c r="R8" s="16" t="s">
        <v>2</v>
      </c>
      <c r="S8" s="11"/>
      <c r="T8" s="11"/>
      <c r="U8" s="12"/>
    </row>
    <row r="9" spans="2:21" x14ac:dyDescent="0.3">
      <c r="B9" s="10"/>
      <c r="C9" s="11"/>
      <c r="D9" s="11"/>
      <c r="E9" s="11"/>
      <c r="F9" s="11"/>
      <c r="G9" s="11"/>
      <c r="H9" s="11"/>
      <c r="I9" s="11"/>
      <c r="J9" s="11"/>
      <c r="K9" s="12"/>
      <c r="L9" s="11"/>
      <c r="M9" s="11"/>
      <c r="N9" s="11"/>
      <c r="O9" s="11"/>
      <c r="P9" s="11"/>
      <c r="Q9" s="11"/>
      <c r="R9" s="11"/>
      <c r="S9" s="11"/>
      <c r="T9" s="11"/>
      <c r="U9" s="12"/>
    </row>
    <row r="10" spans="2:21" x14ac:dyDescent="0.3">
      <c r="B10" s="10"/>
      <c r="C10" s="11"/>
      <c r="D10" s="121" t="s">
        <v>6</v>
      </c>
      <c r="E10" s="121"/>
      <c r="F10" s="121"/>
      <c r="G10" s="121"/>
      <c r="H10" s="121"/>
      <c r="I10" s="121"/>
      <c r="J10" s="11"/>
      <c r="K10" s="12"/>
      <c r="L10" s="11"/>
      <c r="M10" s="11"/>
      <c r="N10" s="16" t="s">
        <v>3</v>
      </c>
      <c r="O10" s="11"/>
      <c r="P10" s="11"/>
      <c r="Q10" s="11"/>
      <c r="R10" s="16" t="s">
        <v>7</v>
      </c>
      <c r="S10" s="11"/>
      <c r="T10" s="11"/>
      <c r="U10" s="12"/>
    </row>
    <row r="11" spans="2:21" x14ac:dyDescent="0.3">
      <c r="B11" s="10"/>
      <c r="C11" s="11"/>
      <c r="D11" s="121"/>
      <c r="E11" s="121"/>
      <c r="F11" s="121"/>
      <c r="G11" s="121"/>
      <c r="H11" s="121"/>
      <c r="I11" s="121"/>
      <c r="J11" s="11"/>
      <c r="K11" s="12"/>
      <c r="L11" s="11"/>
      <c r="M11" s="11"/>
      <c r="N11" s="16"/>
      <c r="O11" s="11"/>
      <c r="P11" s="11"/>
      <c r="Q11" s="11"/>
      <c r="R11" s="16"/>
      <c r="S11" s="11"/>
      <c r="T11" s="11"/>
      <c r="U11" s="12"/>
    </row>
    <row r="12" spans="2:21" x14ac:dyDescent="0.3">
      <c r="B12" s="10"/>
      <c r="C12" s="11"/>
      <c r="D12" s="121"/>
      <c r="E12" s="121"/>
      <c r="F12" s="121"/>
      <c r="G12" s="121"/>
      <c r="H12" s="121"/>
      <c r="I12" s="121"/>
      <c r="J12" s="11"/>
      <c r="K12" s="12"/>
      <c r="L12" s="11"/>
      <c r="M12" s="11"/>
      <c r="N12" s="16"/>
      <c r="O12" s="11"/>
      <c r="P12" s="11"/>
      <c r="Q12" s="11"/>
      <c r="R12" s="16"/>
      <c r="S12" s="11"/>
      <c r="T12" s="11"/>
      <c r="U12" s="12"/>
    </row>
    <row r="13" spans="2:21" ht="15" customHeight="1" x14ac:dyDescent="0.3">
      <c r="B13" s="10"/>
      <c r="C13" s="11"/>
      <c r="D13" s="17"/>
      <c r="E13" s="17"/>
      <c r="F13" s="17"/>
      <c r="G13" s="17"/>
      <c r="H13" s="17"/>
      <c r="I13" s="17"/>
      <c r="J13" s="11"/>
      <c r="K13" s="12"/>
      <c r="L13" s="11"/>
      <c r="M13" s="11"/>
      <c r="N13" s="16"/>
      <c r="O13" s="11"/>
      <c r="P13" s="11"/>
      <c r="Q13" s="11"/>
      <c r="R13" s="16"/>
      <c r="S13" s="11"/>
      <c r="T13" s="11"/>
      <c r="U13" s="12"/>
    </row>
    <row r="14" spans="2:21" ht="17.399999999999999" customHeight="1" x14ac:dyDescent="0.3">
      <c r="B14" s="10"/>
      <c r="C14" s="11"/>
      <c r="D14" s="17"/>
      <c r="E14" s="17"/>
      <c r="F14" s="17"/>
      <c r="G14" s="17"/>
      <c r="H14" s="17"/>
      <c r="I14" s="17"/>
      <c r="J14" s="11"/>
      <c r="K14" s="12"/>
      <c r="L14" s="11"/>
      <c r="M14" s="11"/>
      <c r="N14" s="16" t="s">
        <v>9</v>
      </c>
      <c r="O14" s="11"/>
      <c r="P14" s="11"/>
      <c r="Q14" s="11"/>
      <c r="R14" s="16" t="s">
        <v>8</v>
      </c>
      <c r="S14" s="11"/>
      <c r="T14" s="11"/>
      <c r="U14" s="12"/>
    </row>
    <row r="15" spans="2:21" x14ac:dyDescent="0.3">
      <c r="B15" s="10"/>
      <c r="C15" s="11"/>
      <c r="D15" s="121" t="s">
        <v>3</v>
      </c>
      <c r="E15" s="121"/>
      <c r="F15" s="121"/>
      <c r="G15" s="121"/>
      <c r="H15" s="121"/>
      <c r="I15" s="121"/>
      <c r="J15" s="11"/>
      <c r="K15" s="12"/>
      <c r="L15" s="11"/>
      <c r="M15" s="11"/>
      <c r="N15" s="16"/>
      <c r="O15" s="11"/>
      <c r="P15" s="11"/>
      <c r="Q15" s="11"/>
      <c r="R15" s="16"/>
      <c r="S15" s="11"/>
      <c r="T15" s="11"/>
      <c r="U15" s="12"/>
    </row>
    <row r="16" spans="2:21" x14ac:dyDescent="0.3">
      <c r="B16" s="10"/>
      <c r="C16" s="11"/>
      <c r="D16" s="121"/>
      <c r="E16" s="121"/>
      <c r="F16" s="121"/>
      <c r="G16" s="121"/>
      <c r="H16" s="121"/>
      <c r="I16" s="121"/>
      <c r="J16" s="11"/>
      <c r="K16" s="12"/>
      <c r="L16" s="11"/>
      <c r="M16" s="11"/>
      <c r="N16" s="16"/>
      <c r="O16" s="11"/>
      <c r="P16" s="11"/>
      <c r="Q16" s="11"/>
      <c r="R16" s="16"/>
      <c r="S16" s="11"/>
      <c r="T16" s="11"/>
      <c r="U16" s="12"/>
    </row>
    <row r="17" spans="2:21" x14ac:dyDescent="0.3">
      <c r="B17" s="10"/>
      <c r="C17" s="11"/>
      <c r="D17" s="121"/>
      <c r="E17" s="121"/>
      <c r="F17" s="121"/>
      <c r="G17" s="121"/>
      <c r="H17" s="121"/>
      <c r="I17" s="121"/>
      <c r="J17" s="11"/>
      <c r="K17" s="12"/>
      <c r="L17" s="11"/>
      <c r="M17" s="11"/>
      <c r="N17" s="16"/>
      <c r="O17" s="11"/>
      <c r="P17" s="11"/>
      <c r="Q17" s="11"/>
      <c r="R17" s="16"/>
      <c r="S17" s="11"/>
      <c r="T17" s="11"/>
      <c r="U17" s="12"/>
    </row>
    <row r="18" spans="2:21" ht="15.6" customHeight="1" x14ac:dyDescent="0.3">
      <c r="B18" s="10"/>
      <c r="C18" s="11"/>
      <c r="D18" s="17"/>
      <c r="E18" s="17"/>
      <c r="F18" s="17"/>
      <c r="G18" s="17"/>
      <c r="H18" s="17"/>
      <c r="I18" s="17"/>
      <c r="J18" s="11"/>
      <c r="K18" s="12"/>
      <c r="L18" s="11"/>
      <c r="M18" s="11"/>
      <c r="N18" s="16" t="s">
        <v>4</v>
      </c>
      <c r="O18" s="11"/>
      <c r="P18" s="11"/>
      <c r="Q18" s="11"/>
      <c r="R18" s="16" t="s">
        <v>10</v>
      </c>
      <c r="S18" s="11"/>
      <c r="T18" s="11"/>
      <c r="U18" s="12"/>
    </row>
    <row r="19" spans="2:21" x14ac:dyDescent="0.3">
      <c r="B19" s="10"/>
      <c r="C19" s="11"/>
      <c r="D19" s="121" t="s">
        <v>9</v>
      </c>
      <c r="E19" s="121"/>
      <c r="F19" s="121"/>
      <c r="G19" s="121"/>
      <c r="H19" s="121"/>
      <c r="I19" s="121"/>
      <c r="J19" s="11"/>
      <c r="K19" s="12"/>
      <c r="L19" s="11"/>
      <c r="M19" s="11"/>
      <c r="N19" s="16"/>
      <c r="O19" s="11"/>
      <c r="P19" s="11"/>
      <c r="Q19" s="11"/>
      <c r="R19" s="16"/>
      <c r="S19" s="11"/>
      <c r="T19" s="11"/>
      <c r="U19" s="12"/>
    </row>
    <row r="20" spans="2:21" x14ac:dyDescent="0.3">
      <c r="B20" s="10"/>
      <c r="C20" s="11"/>
      <c r="D20" s="121"/>
      <c r="E20" s="121"/>
      <c r="F20" s="121"/>
      <c r="G20" s="121"/>
      <c r="H20" s="121"/>
      <c r="I20" s="121"/>
      <c r="J20" s="11"/>
      <c r="K20" s="12"/>
      <c r="L20" s="11"/>
      <c r="M20" s="11"/>
      <c r="N20" s="16"/>
      <c r="O20" s="11"/>
      <c r="P20" s="11"/>
      <c r="Q20" s="11"/>
      <c r="R20" s="16"/>
      <c r="S20" s="11"/>
      <c r="T20" s="11"/>
      <c r="U20" s="12"/>
    </row>
    <row r="21" spans="2:21" ht="16.8" customHeight="1" x14ac:dyDescent="0.3">
      <c r="B21" s="10"/>
      <c r="C21" s="11"/>
      <c r="D21" s="121"/>
      <c r="E21" s="121"/>
      <c r="F21" s="121"/>
      <c r="G21" s="121"/>
      <c r="H21" s="121"/>
      <c r="I21" s="121"/>
      <c r="J21" s="11"/>
      <c r="K21" s="12"/>
      <c r="L21" s="11"/>
      <c r="M21" s="11"/>
      <c r="N21" s="16" t="s">
        <v>5</v>
      </c>
      <c r="O21" s="11"/>
      <c r="P21" s="11"/>
      <c r="Q21" s="11"/>
      <c r="R21" s="16" t="s">
        <v>11</v>
      </c>
      <c r="S21" s="11"/>
      <c r="T21" s="11"/>
      <c r="U21" s="12"/>
    </row>
    <row r="22" spans="2:21" ht="13.2" customHeight="1" x14ac:dyDescent="0.3">
      <c r="B22" s="10"/>
      <c r="C22" s="11"/>
      <c r="D22" s="17"/>
      <c r="E22" s="17"/>
      <c r="F22" s="17"/>
      <c r="G22" s="17"/>
      <c r="H22" s="17"/>
      <c r="I22" s="17"/>
      <c r="J22" s="11"/>
      <c r="K22" s="12"/>
      <c r="L22" s="11"/>
      <c r="M22" s="11"/>
      <c r="N22" s="16"/>
      <c r="O22" s="11"/>
      <c r="P22" s="11"/>
      <c r="Q22" s="11"/>
      <c r="R22" s="16"/>
      <c r="S22" s="11"/>
      <c r="T22" s="11"/>
      <c r="U22" s="12"/>
    </row>
    <row r="23" spans="2:21" x14ac:dyDescent="0.3">
      <c r="B23" s="10"/>
      <c r="C23" s="11"/>
      <c r="D23" s="121" t="s">
        <v>4</v>
      </c>
      <c r="E23" s="121"/>
      <c r="F23" s="121"/>
      <c r="G23" s="121"/>
      <c r="H23" s="121"/>
      <c r="I23" s="121"/>
      <c r="J23" s="11"/>
      <c r="K23" s="12"/>
      <c r="L23" s="11"/>
      <c r="M23" s="11"/>
      <c r="T23" s="11"/>
      <c r="U23" s="12"/>
    </row>
    <row r="24" spans="2:21" x14ac:dyDescent="0.3">
      <c r="B24" s="10"/>
      <c r="C24" s="11"/>
      <c r="D24" s="121"/>
      <c r="E24" s="121"/>
      <c r="F24" s="121"/>
      <c r="G24" s="121"/>
      <c r="H24" s="121"/>
      <c r="I24" s="121"/>
      <c r="J24" s="11"/>
      <c r="K24" s="12"/>
      <c r="L24" s="11"/>
      <c r="M24" s="11"/>
      <c r="N24" t="s">
        <v>383</v>
      </c>
      <c r="R24" s="77" t="s">
        <v>384</v>
      </c>
      <c r="T24" s="11"/>
      <c r="U24" s="12"/>
    </row>
    <row r="25" spans="2:21" x14ac:dyDescent="0.3">
      <c r="B25" s="10"/>
      <c r="C25" s="11"/>
      <c r="D25" s="121"/>
      <c r="E25" s="121"/>
      <c r="F25" s="121"/>
      <c r="G25" s="121"/>
      <c r="H25" s="121"/>
      <c r="I25" s="121"/>
      <c r="J25" s="11"/>
      <c r="K25" s="12"/>
      <c r="L25" s="11"/>
      <c r="M25" s="11"/>
      <c r="T25" s="11"/>
      <c r="U25" s="12"/>
    </row>
    <row r="26" spans="2:21" x14ac:dyDescent="0.3">
      <c r="B26" s="10"/>
      <c r="C26" s="11"/>
      <c r="D26" s="121"/>
      <c r="E26" s="121"/>
      <c r="F26" s="121"/>
      <c r="G26" s="121"/>
      <c r="H26" s="121"/>
      <c r="I26" s="121"/>
      <c r="J26" s="11"/>
      <c r="K26" s="12"/>
      <c r="L26" s="11"/>
      <c r="M26" s="16" t="s">
        <v>368</v>
      </c>
      <c r="U26" s="12"/>
    </row>
    <row r="27" spans="2:21" ht="13.2" customHeight="1" x14ac:dyDescent="0.3">
      <c r="B27" s="10"/>
      <c r="C27" s="11"/>
      <c r="D27" s="17"/>
      <c r="E27" s="17"/>
      <c r="F27" s="17"/>
      <c r="G27" s="17"/>
      <c r="H27" s="17"/>
      <c r="I27" s="17"/>
      <c r="J27" s="11"/>
      <c r="K27" s="12"/>
      <c r="L27" s="11"/>
      <c r="M27" s="11"/>
      <c r="N27" t="s">
        <v>376</v>
      </c>
      <c r="T27" s="11"/>
      <c r="U27" s="12"/>
    </row>
    <row r="28" spans="2:21" ht="13.8" customHeight="1" x14ac:dyDescent="0.3">
      <c r="B28" s="10"/>
      <c r="C28" s="11"/>
      <c r="D28" s="17"/>
      <c r="E28" s="17"/>
      <c r="F28" s="17"/>
      <c r="G28" s="17"/>
      <c r="H28" s="17"/>
      <c r="I28" s="17"/>
      <c r="J28" s="11"/>
      <c r="K28" s="12"/>
      <c r="L28" s="11"/>
      <c r="M28" s="11"/>
      <c r="T28" s="11"/>
      <c r="U28" s="12"/>
    </row>
    <row r="29" spans="2:21" ht="15" customHeight="1" x14ac:dyDescent="0.3">
      <c r="B29" s="10"/>
      <c r="C29" s="11"/>
      <c r="D29" s="17"/>
      <c r="E29" s="17"/>
      <c r="F29" s="17"/>
      <c r="G29" s="17"/>
      <c r="H29" s="17"/>
      <c r="I29" s="17"/>
      <c r="J29" s="11"/>
      <c r="K29" s="12"/>
      <c r="L29" s="11"/>
      <c r="M29" s="11"/>
      <c r="N29" t="s">
        <v>370</v>
      </c>
      <c r="O29" s="11"/>
      <c r="P29" s="11"/>
      <c r="Q29" s="11"/>
      <c r="R29" s="11"/>
      <c r="S29" s="11"/>
      <c r="T29" s="11"/>
      <c r="U29" s="12"/>
    </row>
    <row r="30" spans="2:21" x14ac:dyDescent="0.3">
      <c r="B30" s="10"/>
      <c r="C30" s="11"/>
      <c r="D30" s="121" t="s">
        <v>5</v>
      </c>
      <c r="E30" s="121"/>
      <c r="F30" s="121"/>
      <c r="G30" s="121"/>
      <c r="H30" s="121"/>
      <c r="I30" s="121"/>
      <c r="J30" s="11"/>
      <c r="K30" s="12"/>
      <c r="L30" s="11"/>
      <c r="M30" s="11"/>
      <c r="N30" s="11" t="s">
        <v>369</v>
      </c>
      <c r="O30" s="11"/>
      <c r="P30" s="11"/>
      <c r="Q30" s="11"/>
      <c r="R30" s="11"/>
      <c r="S30" s="11"/>
      <c r="T30" s="11"/>
      <c r="U30" s="12"/>
    </row>
    <row r="31" spans="2:21" x14ac:dyDescent="0.3">
      <c r="B31" s="10"/>
      <c r="C31" s="11"/>
      <c r="D31" s="121"/>
      <c r="E31" s="121"/>
      <c r="F31" s="121"/>
      <c r="G31" s="121"/>
      <c r="H31" s="121"/>
      <c r="I31" s="121"/>
      <c r="J31" s="11"/>
      <c r="K31" s="12"/>
      <c r="L31" s="11"/>
      <c r="M31" s="11"/>
      <c r="N31" s="11" t="s">
        <v>373</v>
      </c>
      <c r="O31" s="11"/>
      <c r="Q31" s="11"/>
      <c r="R31" s="11"/>
      <c r="S31" s="11"/>
      <c r="T31" s="11"/>
      <c r="U31" s="12"/>
    </row>
    <row r="32" spans="2:21" x14ac:dyDescent="0.3">
      <c r="B32" s="10"/>
      <c r="C32" s="11"/>
      <c r="D32" s="121"/>
      <c r="E32" s="121"/>
      <c r="F32" s="121"/>
      <c r="G32" s="121"/>
      <c r="H32" s="121"/>
      <c r="I32" s="121"/>
      <c r="J32" s="11"/>
      <c r="K32" s="12"/>
      <c r="L32" s="11"/>
      <c r="M32" s="11"/>
      <c r="O32" s="11"/>
      <c r="Q32" s="11"/>
      <c r="R32" s="11"/>
      <c r="S32" s="11"/>
      <c r="T32" s="11"/>
      <c r="U32" s="12"/>
    </row>
    <row r="33" spans="2:21" x14ac:dyDescent="0.3">
      <c r="B33" s="10"/>
      <c r="C33" s="11"/>
      <c r="D33" s="11"/>
      <c r="E33" s="11"/>
      <c r="F33" s="11"/>
      <c r="G33" s="11"/>
      <c r="H33" s="11"/>
      <c r="I33" s="11"/>
      <c r="J33" s="11"/>
      <c r="K33" s="12"/>
      <c r="L33" s="11"/>
      <c r="M33" s="11"/>
      <c r="N33" s="80" t="s">
        <v>374</v>
      </c>
      <c r="O33" s="11"/>
      <c r="P33" s="11"/>
      <c r="Q33" s="11"/>
      <c r="R33" s="11"/>
      <c r="S33" s="11"/>
      <c r="T33" s="11"/>
      <c r="U33" s="12"/>
    </row>
    <row r="34" spans="2:21" x14ac:dyDescent="0.3">
      <c r="B34" s="10"/>
      <c r="C34" s="11"/>
      <c r="D34" s="11"/>
      <c r="E34" s="11"/>
      <c r="F34" s="11"/>
      <c r="G34" s="11"/>
      <c r="H34" s="11"/>
      <c r="I34" s="11"/>
      <c r="J34" s="11"/>
      <c r="K34" s="12"/>
      <c r="L34" s="11"/>
      <c r="M34" s="11"/>
      <c r="N34" t="s">
        <v>375</v>
      </c>
      <c r="O34" s="11"/>
      <c r="P34" s="11"/>
      <c r="Q34" s="11"/>
      <c r="R34" s="11"/>
      <c r="S34" s="11"/>
      <c r="T34" s="11"/>
      <c r="U34" s="12"/>
    </row>
    <row r="35" spans="2:21" x14ac:dyDescent="0.3">
      <c r="B35" s="10"/>
      <c r="C35" s="11"/>
      <c r="D35" s="11"/>
      <c r="E35" s="11"/>
      <c r="F35" s="11"/>
      <c r="G35" s="11"/>
      <c r="H35" s="11"/>
      <c r="I35" s="11"/>
      <c r="J35" s="11"/>
      <c r="K35" s="12"/>
      <c r="L35" s="11"/>
      <c r="M35" s="11"/>
      <c r="O35" s="11"/>
      <c r="P35" s="11"/>
      <c r="Q35" s="11"/>
      <c r="R35" s="11"/>
      <c r="S35" s="11"/>
      <c r="T35" s="11"/>
      <c r="U35" s="12"/>
    </row>
    <row r="36" spans="2:21" x14ac:dyDescent="0.3">
      <c r="B36" s="10"/>
      <c r="C36" s="11"/>
      <c r="D36" s="111" t="s">
        <v>383</v>
      </c>
      <c r="E36" s="111"/>
      <c r="F36" s="111"/>
      <c r="G36" s="111"/>
      <c r="H36" s="111"/>
      <c r="I36" s="111"/>
      <c r="J36" s="11"/>
      <c r="K36" s="12"/>
      <c r="L36" s="11"/>
      <c r="M36" s="11"/>
      <c r="N36" s="79" t="s">
        <v>371</v>
      </c>
      <c r="O36" s="11"/>
      <c r="P36" s="11"/>
      <c r="Q36" s="11"/>
      <c r="R36" s="11"/>
      <c r="S36" s="11"/>
      <c r="T36" s="11"/>
      <c r="U36" s="12"/>
    </row>
    <row r="37" spans="2:21" x14ac:dyDescent="0.3">
      <c r="B37" s="10"/>
      <c r="C37" s="11"/>
      <c r="D37" s="111"/>
      <c r="E37" s="111"/>
      <c r="F37" s="111"/>
      <c r="G37" s="111"/>
      <c r="H37" s="111"/>
      <c r="I37" s="111"/>
      <c r="J37" s="11"/>
      <c r="K37" s="12"/>
      <c r="L37" s="11"/>
      <c r="M37" s="11"/>
      <c r="N37" s="16" t="s">
        <v>372</v>
      </c>
      <c r="O37" s="11"/>
      <c r="P37" s="11"/>
      <c r="Q37" s="11"/>
      <c r="R37" s="11"/>
      <c r="S37" s="11"/>
      <c r="T37" s="11"/>
      <c r="U37" s="12"/>
    </row>
    <row r="38" spans="2:21" x14ac:dyDescent="0.3">
      <c r="B38" s="10"/>
      <c r="C38" s="11"/>
      <c r="D38" s="111"/>
      <c r="E38" s="111"/>
      <c r="F38" s="111"/>
      <c r="G38" s="111"/>
      <c r="H38" s="111"/>
      <c r="I38" s="111"/>
      <c r="J38" s="11"/>
      <c r="K38" s="12"/>
      <c r="L38" s="11"/>
      <c r="M38" s="11"/>
      <c r="O38" s="11"/>
      <c r="P38" s="11"/>
      <c r="Q38" s="11"/>
      <c r="R38" s="11"/>
      <c r="S38" s="11"/>
      <c r="T38" s="11"/>
      <c r="U38" s="12"/>
    </row>
    <row r="39" spans="2:21" x14ac:dyDescent="0.3">
      <c r="B39" s="10"/>
      <c r="C39" s="11"/>
      <c r="D39" s="11"/>
      <c r="E39" s="11"/>
      <c r="F39" s="11"/>
      <c r="G39" s="11"/>
      <c r="H39" s="11"/>
      <c r="I39" s="11"/>
      <c r="J39" s="11"/>
      <c r="K39" s="12"/>
      <c r="L39" s="11"/>
      <c r="M39" s="11"/>
      <c r="N39" t="s">
        <v>377</v>
      </c>
      <c r="O39" s="11"/>
      <c r="P39" s="11"/>
      <c r="Q39" s="11"/>
      <c r="R39" s="11"/>
      <c r="S39" s="11"/>
      <c r="T39" s="11"/>
      <c r="U39" s="12"/>
    </row>
    <row r="40" spans="2:21" x14ac:dyDescent="0.3">
      <c r="B40" s="10"/>
      <c r="C40" s="11"/>
      <c r="D40" s="11"/>
      <c r="E40" s="11"/>
      <c r="F40" s="11"/>
      <c r="G40" s="11"/>
      <c r="H40" s="11"/>
      <c r="I40" s="11"/>
      <c r="J40" s="11"/>
      <c r="K40" s="12"/>
      <c r="L40" s="11"/>
      <c r="M40" s="11"/>
      <c r="N40" s="11" t="s">
        <v>378</v>
      </c>
      <c r="O40" s="11"/>
      <c r="P40" s="11"/>
      <c r="Q40" s="11"/>
      <c r="R40" s="11"/>
      <c r="S40" s="11"/>
      <c r="T40" s="11"/>
      <c r="U40" s="12"/>
    </row>
    <row r="41" spans="2:21" x14ac:dyDescent="0.3">
      <c r="B41" s="10"/>
      <c r="C41" s="11"/>
      <c r="D41" s="11"/>
      <c r="E41" s="11"/>
      <c r="F41" s="11"/>
      <c r="G41" s="11"/>
      <c r="H41" s="11"/>
      <c r="I41" s="11"/>
      <c r="J41" s="11"/>
      <c r="K41" s="12"/>
      <c r="L41" s="11"/>
      <c r="O41" s="11"/>
      <c r="P41" s="11"/>
      <c r="Q41" s="11"/>
      <c r="R41" s="11"/>
      <c r="S41" s="11"/>
      <c r="T41" s="11"/>
      <c r="U41" s="12"/>
    </row>
    <row r="42" spans="2:21" x14ac:dyDescent="0.3">
      <c r="B42" s="10"/>
      <c r="C42" s="11"/>
      <c r="D42" s="11"/>
      <c r="E42" s="11"/>
      <c r="F42" s="11"/>
      <c r="G42" s="11"/>
      <c r="H42" s="11"/>
      <c r="I42" s="11"/>
      <c r="J42" s="11"/>
      <c r="K42" s="12"/>
      <c r="L42" s="11"/>
      <c r="O42" s="11"/>
      <c r="P42" s="11"/>
      <c r="Q42" s="11"/>
      <c r="R42" s="11"/>
      <c r="S42" s="11"/>
      <c r="T42" s="11"/>
      <c r="U42" s="12"/>
    </row>
    <row r="43" spans="2:21" x14ac:dyDescent="0.3">
      <c r="B43" s="10"/>
      <c r="C43" s="11"/>
      <c r="D43" s="11"/>
      <c r="E43" s="11"/>
      <c r="F43" s="11"/>
      <c r="G43" s="11"/>
      <c r="H43" s="11"/>
      <c r="I43" s="11"/>
      <c r="J43" s="11"/>
      <c r="K43" s="12"/>
      <c r="L43" s="11"/>
      <c r="O43" s="11"/>
      <c r="P43" s="11"/>
      <c r="Q43" s="11"/>
      <c r="R43" s="11"/>
      <c r="S43" s="11"/>
      <c r="T43" s="11"/>
      <c r="U43" s="12"/>
    </row>
    <row r="44" spans="2:21" ht="15" thickBot="1" x14ac:dyDescent="0.35">
      <c r="B44" s="13"/>
      <c r="C44" s="14"/>
      <c r="D44" s="14"/>
      <c r="E44" s="14"/>
      <c r="F44" s="14"/>
      <c r="G44" s="14"/>
      <c r="H44" s="14"/>
      <c r="I44" s="14"/>
      <c r="J44" s="14"/>
      <c r="K44" s="15"/>
      <c r="L44" s="14"/>
      <c r="M44" s="14"/>
      <c r="N44" s="14"/>
      <c r="O44" s="14"/>
      <c r="P44" s="14"/>
      <c r="Q44" s="14"/>
      <c r="R44" s="14"/>
      <c r="S44" s="14"/>
      <c r="T44" s="14"/>
      <c r="U44" s="15"/>
    </row>
  </sheetData>
  <mergeCells count="7">
    <mergeCell ref="D36:I38"/>
    <mergeCell ref="B3:U5"/>
    <mergeCell ref="D15:I17"/>
    <mergeCell ref="D19:I21"/>
    <mergeCell ref="D23:I26"/>
    <mergeCell ref="D30:I32"/>
    <mergeCell ref="D10:I12"/>
  </mergeCells>
  <hyperlinks>
    <hyperlink ref="D19:I21" location="CCT!A1" display="CCT" xr:uid="{7ECFF117-47D8-4346-9168-5572DDFF66C4}"/>
    <hyperlink ref="D23:I26" location="PR!A1" display="PR" xr:uid="{B7BA5DBD-9EDD-4A77-8FD3-8A013ADC3E2A}"/>
    <hyperlink ref="D30:I32" location="ARD!A1" display="ARD!A1" xr:uid="{04F7FC8F-BD1B-4DBA-B40E-97627B716049}"/>
    <hyperlink ref="D10:I12" location="DASHBOARD!A1" display="DASHBOARD!A1" xr:uid="{0AEE1C86-B096-44FB-9CA5-C93D12EBBC56}"/>
    <hyperlink ref="D36:I38" location="RS!A1" display="RS" xr:uid="{688C3532-7138-43A7-A72F-450AD472A59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0B8E0-C297-4EFD-B3F5-DE68D4269D34}">
  <dimension ref="D1:Y79"/>
  <sheetViews>
    <sheetView tabSelected="1" topLeftCell="E1" zoomScale="70" zoomScaleNormal="70" workbookViewId="0">
      <selection activeCell="N25" sqref="N25"/>
    </sheetView>
  </sheetViews>
  <sheetFormatPr defaultRowHeight="14.4" x14ac:dyDescent="0.3"/>
  <cols>
    <col min="3" max="4" width="10.77734375" customWidth="1"/>
    <col min="5" max="5" width="23.88671875" bestFit="1" customWidth="1"/>
    <col min="6" max="6" width="10.77734375" customWidth="1"/>
    <col min="7" max="7" width="12.109375" customWidth="1"/>
    <col min="8" max="8" width="10.77734375" customWidth="1"/>
    <col min="9" max="9" width="28.109375" bestFit="1" customWidth="1"/>
    <col min="10" max="10" width="20.44140625" bestFit="1" customWidth="1"/>
    <col min="11" max="11" width="21.5546875" bestFit="1" customWidth="1"/>
    <col min="12" max="12" width="12.88671875" bestFit="1" customWidth="1"/>
    <col min="13" max="13" width="20.44140625" bestFit="1" customWidth="1"/>
    <col min="14" max="14" width="19.77734375" bestFit="1" customWidth="1"/>
    <col min="15" max="15" width="11.5546875" bestFit="1" customWidth="1"/>
    <col min="16" max="16" width="11.77734375" bestFit="1" customWidth="1"/>
    <col min="17" max="17" width="21.44140625" bestFit="1" customWidth="1"/>
    <col min="18" max="18" width="25.77734375" bestFit="1" customWidth="1"/>
    <col min="19" max="19" width="19.77734375" bestFit="1" customWidth="1"/>
    <col min="20" max="20" width="21.5546875" bestFit="1" customWidth="1"/>
    <col min="21" max="21" width="11.5546875" bestFit="1" customWidth="1"/>
    <col min="22" max="22" width="21.44140625" bestFit="1" customWidth="1"/>
    <col min="23" max="23" width="22.77734375" bestFit="1" customWidth="1"/>
    <col min="24" max="24" width="16.44140625" bestFit="1" customWidth="1"/>
    <col min="25" max="25" width="11.5546875" bestFit="1" customWidth="1"/>
    <col min="26" max="26" width="14" bestFit="1" customWidth="1"/>
    <col min="27" max="27" width="11.5546875" bestFit="1" customWidth="1"/>
    <col min="28" max="28" width="11.77734375" bestFit="1" customWidth="1"/>
    <col min="29" max="29" width="12.5546875" bestFit="1" customWidth="1"/>
    <col min="30" max="30" width="16.44140625" bestFit="1" customWidth="1"/>
    <col min="31" max="31" width="11.5546875" bestFit="1" customWidth="1"/>
    <col min="32" max="32" width="11.77734375" bestFit="1" customWidth="1"/>
    <col min="33" max="33" width="11.5546875" bestFit="1" customWidth="1"/>
    <col min="34" max="34" width="14" bestFit="1" customWidth="1"/>
    <col min="35" max="35" width="11.5546875" bestFit="1" customWidth="1"/>
    <col min="36" max="36" width="14" bestFit="1" customWidth="1"/>
    <col min="37" max="37" width="11.5546875" bestFit="1" customWidth="1"/>
    <col min="38" max="38" width="12.88671875" bestFit="1" customWidth="1"/>
    <col min="39" max="39" width="11.5546875" bestFit="1" customWidth="1"/>
    <col min="40" max="40" width="11.77734375" bestFit="1" customWidth="1"/>
    <col min="41" max="41" width="11.5546875" bestFit="1" customWidth="1"/>
    <col min="42" max="42" width="14" bestFit="1" customWidth="1"/>
    <col min="43" max="43" width="11.5546875" bestFit="1" customWidth="1"/>
    <col min="44" max="44" width="12.88671875" bestFit="1" customWidth="1"/>
    <col min="45" max="45" width="11.5546875" bestFit="1" customWidth="1"/>
    <col min="46" max="46" width="14" bestFit="1" customWidth="1"/>
    <col min="47" max="47" width="11.5546875" bestFit="1" customWidth="1"/>
    <col min="48" max="48" width="11.77734375" bestFit="1" customWidth="1"/>
    <col min="49" max="49" width="12.5546875" bestFit="1" customWidth="1"/>
    <col min="50" max="50" width="16.44140625" bestFit="1" customWidth="1"/>
    <col min="51" max="51" width="11.5546875" bestFit="1" customWidth="1"/>
    <col min="52" max="52" width="12.88671875" bestFit="1" customWidth="1"/>
    <col min="53" max="53" width="11.5546875" bestFit="1" customWidth="1"/>
    <col min="54" max="54" width="12.88671875" bestFit="1" customWidth="1"/>
    <col min="55" max="55" width="11.5546875" bestFit="1" customWidth="1"/>
    <col min="56" max="56" width="10.109375" bestFit="1" customWidth="1"/>
    <col min="57" max="57" width="11.5546875" bestFit="1" customWidth="1"/>
    <col min="58" max="58" width="12.88671875" bestFit="1" customWidth="1"/>
    <col min="59" max="59" width="11.5546875" bestFit="1" customWidth="1"/>
    <col min="60" max="60" width="15.33203125" bestFit="1" customWidth="1"/>
    <col min="61" max="61" width="11.5546875" bestFit="1" customWidth="1"/>
    <col min="62" max="62" width="14" bestFit="1" customWidth="1"/>
    <col min="63" max="63" width="11.5546875" bestFit="1" customWidth="1"/>
    <col min="64" max="64" width="10.109375" bestFit="1" customWidth="1"/>
    <col min="65" max="65" width="11.5546875" bestFit="1" customWidth="1"/>
    <col min="66" max="66" width="12.88671875" bestFit="1" customWidth="1"/>
    <col min="67" max="67" width="11.5546875" bestFit="1" customWidth="1"/>
    <col min="68" max="68" width="14" bestFit="1" customWidth="1"/>
    <col min="69" max="70" width="11.5546875" bestFit="1" customWidth="1"/>
    <col min="71" max="71" width="11.77734375" bestFit="1" customWidth="1"/>
    <col min="72" max="72" width="11.5546875" bestFit="1" customWidth="1"/>
    <col min="73" max="73" width="11.77734375" bestFit="1" customWidth="1"/>
    <col min="74" max="74" width="11.5546875" bestFit="1" customWidth="1"/>
    <col min="75" max="75" width="10.109375" bestFit="1" customWidth="1"/>
    <col min="76" max="76" width="11.5546875" bestFit="1" customWidth="1"/>
    <col min="77" max="77" width="15.33203125" bestFit="1" customWidth="1"/>
    <col min="78" max="78" width="11.5546875" bestFit="1" customWidth="1"/>
    <col min="79" max="79" width="14" bestFit="1" customWidth="1"/>
    <col min="80" max="80" width="11.5546875" bestFit="1" customWidth="1"/>
    <col min="81" max="81" width="15.33203125" bestFit="1" customWidth="1"/>
    <col min="82" max="82" width="11.5546875" bestFit="1" customWidth="1"/>
    <col min="83" max="83" width="10.109375" bestFit="1" customWidth="1"/>
    <col min="84" max="84" width="11.5546875" bestFit="1" customWidth="1"/>
    <col min="85" max="85" width="11.77734375" bestFit="1" customWidth="1"/>
    <col min="86" max="86" width="11.5546875" bestFit="1" customWidth="1"/>
    <col min="87" max="87" width="14" bestFit="1" customWidth="1"/>
    <col min="88" max="88" width="11.5546875" bestFit="1" customWidth="1"/>
    <col min="89" max="89" width="10.109375" bestFit="1" customWidth="1"/>
    <col min="90" max="90" width="11.5546875" bestFit="1" customWidth="1"/>
    <col min="91" max="91" width="12.88671875" bestFit="1" customWidth="1"/>
    <col min="92" max="92" width="11.5546875" bestFit="1" customWidth="1"/>
    <col min="93" max="93" width="10.109375" bestFit="1" customWidth="1"/>
    <col min="94" max="94" width="11.5546875" bestFit="1" customWidth="1"/>
    <col min="95" max="95" width="11.77734375" bestFit="1" customWidth="1"/>
    <col min="96" max="96" width="11.5546875" bestFit="1" customWidth="1"/>
    <col min="97" max="97" width="14" bestFit="1" customWidth="1"/>
    <col min="98" max="98" width="11.5546875" bestFit="1" customWidth="1"/>
    <col min="99" max="99" width="10.109375" bestFit="1" customWidth="1"/>
    <col min="100" max="100" width="11.5546875" bestFit="1" customWidth="1"/>
    <col min="101" max="101" width="14" bestFit="1" customWidth="1"/>
    <col min="102" max="102" width="11.5546875" bestFit="1" customWidth="1"/>
    <col min="103" max="103" width="11.77734375" bestFit="1" customWidth="1"/>
    <col min="104" max="105" width="11.5546875" bestFit="1" customWidth="1"/>
    <col min="106" max="106" width="10.109375" bestFit="1" customWidth="1"/>
    <col min="107" max="107" width="11.5546875" bestFit="1" customWidth="1"/>
    <col min="108" max="108" width="14" bestFit="1" customWidth="1"/>
    <col min="109" max="109" width="11.5546875" bestFit="1" customWidth="1"/>
    <col min="110" max="110" width="14" bestFit="1" customWidth="1"/>
    <col min="111" max="111" width="11.5546875" bestFit="1" customWidth="1"/>
    <col min="112" max="112" width="10.109375" bestFit="1" customWidth="1"/>
    <col min="113" max="113" width="11.5546875" bestFit="1" customWidth="1"/>
    <col min="114" max="114" width="10.109375" bestFit="1" customWidth="1"/>
    <col min="115" max="115" width="11.5546875" bestFit="1" customWidth="1"/>
    <col min="116" max="116" width="11.77734375" bestFit="1" customWidth="1"/>
    <col min="117" max="117" width="11.5546875" bestFit="1" customWidth="1"/>
    <col min="118" max="118" width="10.109375" bestFit="1" customWidth="1"/>
    <col min="119" max="119" width="11.5546875" bestFit="1" customWidth="1"/>
    <col min="120" max="120" width="14" bestFit="1" customWidth="1"/>
    <col min="121" max="121" width="11.5546875" bestFit="1" customWidth="1"/>
    <col min="122" max="122" width="15.33203125" bestFit="1" customWidth="1"/>
    <col min="123" max="123" width="12.5546875" bestFit="1" customWidth="1"/>
    <col min="124" max="124" width="16.44140625" bestFit="1" customWidth="1"/>
    <col min="125" max="125" width="11.5546875" bestFit="1" customWidth="1"/>
    <col min="126" max="126" width="11.77734375" bestFit="1" customWidth="1"/>
    <col min="127" max="127" width="11.5546875" bestFit="1" customWidth="1"/>
    <col min="128" max="128" width="12.88671875" bestFit="1" customWidth="1"/>
    <col min="129" max="129" width="11.5546875" bestFit="1" customWidth="1"/>
    <col min="130" max="130" width="10.109375" bestFit="1" customWidth="1"/>
    <col min="131" max="131" width="11.5546875" bestFit="1" customWidth="1"/>
    <col min="132" max="132" width="14" bestFit="1" customWidth="1"/>
    <col min="133" max="133" width="11.5546875" bestFit="1" customWidth="1"/>
    <col min="134" max="134" width="10.109375" bestFit="1" customWidth="1"/>
    <col min="135" max="135" width="11.5546875" bestFit="1" customWidth="1"/>
    <col min="136" max="136" width="12.88671875" bestFit="1" customWidth="1"/>
    <col min="137" max="137" width="11.5546875" bestFit="1" customWidth="1"/>
    <col min="138" max="138" width="10.109375" bestFit="1" customWidth="1"/>
    <col min="139" max="139" width="11.5546875" bestFit="1" customWidth="1"/>
    <col min="140" max="140" width="15.33203125" bestFit="1" customWidth="1"/>
    <col min="141" max="141" width="11.5546875" bestFit="1" customWidth="1"/>
    <col min="142" max="142" width="14" bestFit="1" customWidth="1"/>
    <col min="143" max="143" width="11.5546875" bestFit="1" customWidth="1"/>
    <col min="144" max="144" width="14" bestFit="1" customWidth="1"/>
    <col min="145" max="145" width="11.5546875" bestFit="1" customWidth="1"/>
    <col min="146" max="146" width="14" bestFit="1" customWidth="1"/>
    <col min="147" max="147" width="11.5546875" bestFit="1" customWidth="1"/>
    <col min="148" max="148" width="14" bestFit="1" customWidth="1"/>
    <col min="149" max="149" width="11.5546875" bestFit="1" customWidth="1"/>
    <col min="150" max="150" width="12.88671875" bestFit="1" customWidth="1"/>
    <col min="151" max="151" width="12.5546875" bestFit="1" customWidth="1"/>
    <col min="152" max="152" width="16.44140625" bestFit="1" customWidth="1"/>
    <col min="153" max="153" width="11.5546875" bestFit="1" customWidth="1"/>
    <col min="154" max="154" width="14" bestFit="1" customWidth="1"/>
    <col min="155" max="155" width="11.5546875" bestFit="1" customWidth="1"/>
    <col min="156" max="156" width="10.109375" bestFit="1" customWidth="1"/>
    <col min="157" max="157" width="11.5546875" bestFit="1" customWidth="1"/>
    <col min="158" max="158" width="11.77734375" bestFit="1" customWidth="1"/>
    <col min="159" max="159" width="11.5546875" bestFit="1" customWidth="1"/>
    <col min="160" max="160" width="10.109375" bestFit="1" customWidth="1"/>
    <col min="161" max="161" width="11.5546875" bestFit="1" customWidth="1"/>
    <col min="162" max="162" width="14" bestFit="1" customWidth="1"/>
    <col min="163" max="163" width="12.5546875" bestFit="1" customWidth="1"/>
    <col min="164" max="164" width="16.44140625" bestFit="1" customWidth="1"/>
    <col min="165" max="165" width="11.5546875" bestFit="1" customWidth="1"/>
    <col min="166" max="166" width="15.33203125" bestFit="1" customWidth="1"/>
    <col min="167" max="167" width="11.5546875" bestFit="1" customWidth="1"/>
    <col min="168" max="168" width="11.77734375" bestFit="1" customWidth="1"/>
    <col min="169" max="169" width="11.5546875" bestFit="1" customWidth="1"/>
    <col min="170" max="170" width="14" bestFit="1" customWidth="1"/>
    <col min="171" max="171" width="11.5546875" bestFit="1" customWidth="1"/>
    <col min="172" max="172" width="12.88671875" bestFit="1" customWidth="1"/>
    <col min="173" max="173" width="12.5546875" bestFit="1" customWidth="1"/>
    <col min="174" max="174" width="16.44140625" bestFit="1" customWidth="1"/>
    <col min="175" max="175" width="11.5546875" bestFit="1" customWidth="1"/>
    <col min="176" max="176" width="11.21875" bestFit="1" customWidth="1"/>
    <col min="177" max="177" width="11.5546875" bestFit="1" customWidth="1"/>
    <col min="178" max="178" width="15.33203125" bestFit="1" customWidth="1"/>
    <col min="179" max="179" width="11.5546875" bestFit="1" customWidth="1"/>
    <col min="180" max="180" width="12.88671875" bestFit="1" customWidth="1"/>
    <col min="181" max="181" width="12.5546875" bestFit="1" customWidth="1"/>
    <col min="182" max="182" width="16.44140625" bestFit="1" customWidth="1"/>
    <col min="183" max="183" width="11.5546875" bestFit="1" customWidth="1"/>
    <col min="184" max="184" width="12.88671875" bestFit="1" customWidth="1"/>
    <col min="185" max="185" width="11.5546875" bestFit="1" customWidth="1"/>
    <col min="186" max="186" width="14" bestFit="1" customWidth="1"/>
    <col min="187" max="187" width="11.5546875" bestFit="1" customWidth="1"/>
    <col min="188" max="188" width="15.33203125" bestFit="1" customWidth="1"/>
    <col min="189" max="189" width="11.5546875" bestFit="1" customWidth="1"/>
    <col min="190" max="190" width="11.21875" bestFit="1" customWidth="1"/>
    <col min="191" max="191" width="11.5546875" bestFit="1" customWidth="1"/>
    <col min="192" max="192" width="12.88671875" bestFit="1" customWidth="1"/>
    <col min="193" max="193" width="11.5546875" bestFit="1" customWidth="1"/>
    <col min="194" max="194" width="12.88671875" bestFit="1" customWidth="1"/>
    <col min="195" max="195" width="11.5546875" bestFit="1" customWidth="1"/>
    <col min="196" max="196" width="12.88671875" bestFit="1" customWidth="1"/>
    <col min="197" max="197" width="11.5546875" bestFit="1" customWidth="1"/>
    <col min="198" max="198" width="11.21875" bestFit="1" customWidth="1"/>
    <col min="199" max="199" width="11.5546875" bestFit="1" customWidth="1"/>
    <col min="200" max="200" width="11.21875" bestFit="1" customWidth="1"/>
    <col min="201" max="201" width="11.5546875" bestFit="1" customWidth="1"/>
    <col min="202" max="202" width="15.33203125" bestFit="1" customWidth="1"/>
    <col min="203" max="203" width="11.5546875" bestFit="1" customWidth="1"/>
    <col min="204" max="204" width="11.21875" bestFit="1" customWidth="1"/>
    <col min="205" max="205" width="11.5546875" bestFit="1" customWidth="1"/>
    <col min="206" max="206" width="11.21875" bestFit="1" customWidth="1"/>
    <col min="207" max="207" width="11.5546875" bestFit="1" customWidth="1"/>
    <col min="208" max="208" width="12.88671875" bestFit="1" customWidth="1"/>
    <col min="209" max="209" width="7.44140625" bestFit="1" customWidth="1"/>
    <col min="210" max="210" width="11.21875" bestFit="1" customWidth="1"/>
    <col min="211" max="211" width="12.88671875" bestFit="1" customWidth="1"/>
  </cols>
  <sheetData>
    <row r="1" spans="4:25" ht="15" thickBot="1" x14ac:dyDescent="0.35"/>
    <row r="2" spans="4:25" ht="14.4" customHeight="1" x14ac:dyDescent="0.3">
      <c r="H2" s="125" t="s">
        <v>6</v>
      </c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7"/>
    </row>
    <row r="3" spans="4:25" ht="14.4" customHeight="1" x14ac:dyDescent="0.3">
      <c r="H3" s="128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4:25" ht="14.4" customHeight="1" x14ac:dyDescent="0.3">
      <c r="H4" s="128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4:25" x14ac:dyDescent="0.3"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</row>
    <row r="6" spans="4:25" x14ac:dyDescent="0.3"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</row>
    <row r="7" spans="4:25" x14ac:dyDescent="0.3"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</row>
    <row r="8" spans="4:25" ht="15" thickBot="1" x14ac:dyDescent="0.35">
      <c r="H8" s="102"/>
      <c r="I8" s="103"/>
      <c r="J8" s="154" t="s">
        <v>362</v>
      </c>
      <c r="K8" s="25" t="s">
        <v>364</v>
      </c>
      <c r="L8" s="2"/>
      <c r="M8" s="154" t="s">
        <v>362</v>
      </c>
      <c r="N8" s="25" t="s">
        <v>366</v>
      </c>
      <c r="O8" s="2"/>
      <c r="P8" s="2"/>
      <c r="Q8" s="154" t="s">
        <v>362</v>
      </c>
      <c r="R8" s="4" t="s">
        <v>365</v>
      </c>
      <c r="S8" s="5" t="s">
        <v>366</v>
      </c>
      <c r="T8" s="6" t="s">
        <v>364</v>
      </c>
      <c r="U8" s="2"/>
      <c r="V8" s="154" t="s">
        <v>362</v>
      </c>
      <c r="W8" s="25" t="s">
        <v>367</v>
      </c>
      <c r="X8" s="2"/>
      <c r="Y8" s="3"/>
    </row>
    <row r="9" spans="4:25" x14ac:dyDescent="0.3">
      <c r="H9" s="104"/>
      <c r="I9" s="103"/>
      <c r="J9" s="155" t="s">
        <v>23</v>
      </c>
      <c r="K9" s="43">
        <v>7511.625</v>
      </c>
      <c r="L9" s="2"/>
      <c r="M9" s="155" t="s">
        <v>23</v>
      </c>
      <c r="N9" s="43">
        <v>7674.9174999999996</v>
      </c>
      <c r="O9" s="2"/>
      <c r="P9" s="2"/>
      <c r="Q9" s="155" t="s">
        <v>23</v>
      </c>
      <c r="R9" s="160">
        <v>7511.625</v>
      </c>
      <c r="S9" s="105">
        <v>7674.9174999999996</v>
      </c>
      <c r="T9" s="157">
        <v>7511.625</v>
      </c>
      <c r="U9" s="2"/>
      <c r="V9" s="155" t="s">
        <v>23</v>
      </c>
      <c r="W9" s="152">
        <v>10</v>
      </c>
      <c r="X9" s="2"/>
      <c r="Y9" s="3"/>
    </row>
    <row r="10" spans="4:25" x14ac:dyDescent="0.3">
      <c r="H10" s="106"/>
      <c r="I10" s="103"/>
      <c r="J10" s="155" t="s">
        <v>27</v>
      </c>
      <c r="K10" s="43">
        <v>8698.375</v>
      </c>
      <c r="L10" s="2"/>
      <c r="M10" s="155" t="s">
        <v>27</v>
      </c>
      <c r="N10" s="43">
        <v>8704.5275000000001</v>
      </c>
      <c r="O10" s="2"/>
      <c r="P10" s="2"/>
      <c r="Q10" s="155" t="s">
        <v>27</v>
      </c>
      <c r="R10" s="160">
        <v>6483.125</v>
      </c>
      <c r="S10" s="105">
        <v>8704.5275000000001</v>
      </c>
      <c r="T10" s="157">
        <v>8698.375</v>
      </c>
      <c r="U10" s="2"/>
      <c r="V10" s="155" t="s">
        <v>27</v>
      </c>
      <c r="W10" s="152">
        <v>10</v>
      </c>
      <c r="X10" s="2"/>
      <c r="Y10" s="3"/>
    </row>
    <row r="11" spans="4:25" x14ac:dyDescent="0.3">
      <c r="H11" s="104"/>
      <c r="I11" s="103"/>
      <c r="J11" s="155" t="s">
        <v>43</v>
      </c>
      <c r="K11" s="43">
        <v>3451.125</v>
      </c>
      <c r="L11" s="2"/>
      <c r="M11" s="155" t="s">
        <v>43</v>
      </c>
      <c r="N11" s="43">
        <v>3603.4062499999995</v>
      </c>
      <c r="O11" s="2"/>
      <c r="P11" s="2"/>
      <c r="Q11" s="155" t="s">
        <v>43</v>
      </c>
      <c r="R11" s="160">
        <v>2911.125</v>
      </c>
      <c r="S11" s="105">
        <v>3603.4062499999995</v>
      </c>
      <c r="T11" s="157">
        <v>3451.125</v>
      </c>
      <c r="U11" s="2"/>
      <c r="V11" s="155" t="s">
        <v>43</v>
      </c>
      <c r="W11" s="152">
        <v>10</v>
      </c>
      <c r="X11" s="2"/>
      <c r="Y11" s="3"/>
    </row>
    <row r="12" spans="4:25" ht="14.4" customHeight="1" x14ac:dyDescent="0.3">
      <c r="H12" s="106"/>
      <c r="I12" s="103"/>
      <c r="J12" s="155" t="s">
        <v>39</v>
      </c>
      <c r="K12" s="43">
        <v>5351.5249999999996</v>
      </c>
      <c r="L12" s="2"/>
      <c r="M12" s="155" t="s">
        <v>39</v>
      </c>
      <c r="N12" s="43">
        <v>5615.9549999999999</v>
      </c>
      <c r="O12" s="2"/>
      <c r="P12" s="2"/>
      <c r="Q12" s="155" t="s">
        <v>39</v>
      </c>
      <c r="R12" s="160">
        <v>4761.5249999999996</v>
      </c>
      <c r="S12" s="105">
        <v>5615.9549999999999</v>
      </c>
      <c r="T12" s="157">
        <v>5351.5249999999996</v>
      </c>
      <c r="U12" s="2"/>
      <c r="V12" s="155" t="s">
        <v>39</v>
      </c>
      <c r="W12" s="152">
        <v>10</v>
      </c>
      <c r="X12" s="2"/>
      <c r="Y12" s="3"/>
    </row>
    <row r="13" spans="4:25" ht="14.4" customHeight="1" x14ac:dyDescent="0.3">
      <c r="H13" s="104"/>
      <c r="I13" s="103"/>
      <c r="J13" s="155" t="s">
        <v>31</v>
      </c>
      <c r="K13" s="43">
        <v>5056</v>
      </c>
      <c r="L13" s="2"/>
      <c r="M13" s="155" t="s">
        <v>31</v>
      </c>
      <c r="N13" s="43">
        <v>5306.2337499999994</v>
      </c>
      <c r="O13" s="2"/>
      <c r="P13" s="2"/>
      <c r="Q13" s="155" t="s">
        <v>31</v>
      </c>
      <c r="R13" s="160">
        <v>2921</v>
      </c>
      <c r="S13" s="105">
        <v>5306.2337499999994</v>
      </c>
      <c r="T13" s="157">
        <v>5056</v>
      </c>
      <c r="U13" s="2"/>
      <c r="V13" s="155" t="s">
        <v>31</v>
      </c>
      <c r="W13" s="152">
        <v>10</v>
      </c>
      <c r="X13" s="2"/>
      <c r="Y13" s="3"/>
    </row>
    <row r="14" spans="4:25" ht="14.4" customHeight="1" x14ac:dyDescent="0.3">
      <c r="H14" s="106"/>
      <c r="I14" s="2"/>
      <c r="J14" s="155" t="s">
        <v>19</v>
      </c>
      <c r="K14" s="43">
        <v>4443.375</v>
      </c>
      <c r="L14" s="2"/>
      <c r="M14" s="155" t="s">
        <v>19</v>
      </c>
      <c r="N14" s="43">
        <v>4462.0124999999998</v>
      </c>
      <c r="O14" s="2"/>
      <c r="P14" s="2"/>
      <c r="Q14" s="155" t="s">
        <v>19</v>
      </c>
      <c r="R14" s="160">
        <v>3718.375</v>
      </c>
      <c r="S14" s="105">
        <v>4462.0124999999998</v>
      </c>
      <c r="T14" s="157">
        <v>4443.375</v>
      </c>
      <c r="U14" s="2"/>
      <c r="V14" s="155" t="s">
        <v>19</v>
      </c>
      <c r="W14" s="152">
        <v>10</v>
      </c>
      <c r="X14" s="2"/>
      <c r="Y14" s="3"/>
    </row>
    <row r="15" spans="4:25" x14ac:dyDescent="0.3">
      <c r="H15" s="104"/>
      <c r="I15" s="2"/>
      <c r="J15" s="155" t="s">
        <v>35</v>
      </c>
      <c r="K15" s="43">
        <v>7191.0249999999996</v>
      </c>
      <c r="L15" s="2"/>
      <c r="M15" s="155" t="s">
        <v>35</v>
      </c>
      <c r="N15" s="43">
        <v>7794.652</v>
      </c>
      <c r="O15" s="2"/>
      <c r="P15" s="2"/>
      <c r="Q15" s="155" t="s">
        <v>35</v>
      </c>
      <c r="R15" s="160">
        <v>7191.0249999999996</v>
      </c>
      <c r="S15" s="105">
        <v>7794.652</v>
      </c>
      <c r="T15" s="157">
        <v>7191.0249999999996</v>
      </c>
      <c r="U15" s="2"/>
      <c r="V15" s="155" t="s">
        <v>35</v>
      </c>
      <c r="W15" s="152">
        <v>10</v>
      </c>
      <c r="X15" s="2"/>
      <c r="Y15" s="3"/>
    </row>
    <row r="16" spans="4:25" x14ac:dyDescent="0.3">
      <c r="H16" s="106"/>
      <c r="I16" s="2"/>
      <c r="J16" s="155" t="s">
        <v>47</v>
      </c>
      <c r="K16" s="43">
        <v>8508.875</v>
      </c>
      <c r="L16" s="2"/>
      <c r="M16" s="155" t="s">
        <v>47</v>
      </c>
      <c r="N16" s="43">
        <v>9039.8762499999993</v>
      </c>
      <c r="O16" s="2"/>
      <c r="P16" s="2"/>
      <c r="Q16" s="155" t="s">
        <v>47</v>
      </c>
      <c r="R16" s="160">
        <v>6833.875</v>
      </c>
      <c r="S16" s="105">
        <v>9039.8762499999993</v>
      </c>
      <c r="T16" s="157">
        <v>8508.875</v>
      </c>
      <c r="U16" s="2"/>
      <c r="V16" s="155" t="s">
        <v>47</v>
      </c>
      <c r="W16" s="152">
        <v>10</v>
      </c>
      <c r="X16" s="2"/>
      <c r="Y16" s="3"/>
    </row>
    <row r="17" spans="5:25" ht="14.4" customHeight="1" x14ac:dyDescent="0.3">
      <c r="E17" s="76"/>
      <c r="F17" s="76"/>
      <c r="G17" s="77"/>
      <c r="H17" s="104"/>
      <c r="I17" s="2"/>
      <c r="J17" s="155" t="s">
        <v>51</v>
      </c>
      <c r="K17" s="43">
        <v>4871.375</v>
      </c>
      <c r="L17" s="2"/>
      <c r="M17" s="155" t="s">
        <v>51</v>
      </c>
      <c r="N17" s="43">
        <v>4918.0162500000006</v>
      </c>
      <c r="O17" s="2"/>
      <c r="P17" s="2"/>
      <c r="Q17" s="155" t="s">
        <v>51</v>
      </c>
      <c r="R17" s="160">
        <v>4605.875</v>
      </c>
      <c r="S17" s="105">
        <v>4918.0162500000006</v>
      </c>
      <c r="T17" s="157">
        <v>4871.375</v>
      </c>
      <c r="U17" s="2"/>
      <c r="V17" s="155" t="s">
        <v>51</v>
      </c>
      <c r="W17" s="152">
        <v>10</v>
      </c>
      <c r="X17" s="2"/>
      <c r="Y17" s="3"/>
    </row>
    <row r="18" spans="5:25" ht="14.4" customHeight="1" thickBot="1" x14ac:dyDescent="0.35">
      <c r="E18" s="76"/>
      <c r="F18" s="76"/>
      <c r="G18" s="77"/>
      <c r="H18" s="106"/>
      <c r="I18" s="2"/>
      <c r="J18" s="156" t="s">
        <v>55</v>
      </c>
      <c r="K18" s="43">
        <v>6196.125</v>
      </c>
      <c r="L18" s="2"/>
      <c r="M18" s="156" t="s">
        <v>55</v>
      </c>
      <c r="N18" s="43">
        <v>6359.2787500000004</v>
      </c>
      <c r="O18" s="2"/>
      <c r="P18" s="2"/>
      <c r="Q18" s="156" t="s">
        <v>55</v>
      </c>
      <c r="R18" s="160">
        <v>4271.625</v>
      </c>
      <c r="S18" s="105">
        <v>6359.2787500000004</v>
      </c>
      <c r="T18" s="157">
        <v>6196.125</v>
      </c>
      <c r="U18" s="2"/>
      <c r="V18" s="156" t="s">
        <v>55</v>
      </c>
      <c r="W18" s="152">
        <v>10</v>
      </c>
      <c r="X18" s="2"/>
      <c r="Y18" s="3"/>
    </row>
    <row r="19" spans="5:25" ht="15" thickBot="1" x14ac:dyDescent="0.35">
      <c r="E19" s="76"/>
      <c r="F19" s="76"/>
      <c r="G19" s="77"/>
      <c r="H19" s="104"/>
      <c r="I19" s="2"/>
      <c r="J19" s="156" t="s">
        <v>363</v>
      </c>
      <c r="K19" s="44">
        <v>61279.425000000003</v>
      </c>
      <c r="L19" s="2"/>
      <c r="M19" s="156" t="s">
        <v>363</v>
      </c>
      <c r="N19" s="44">
        <v>63478.875749999999</v>
      </c>
      <c r="O19" s="2"/>
      <c r="P19" s="2"/>
      <c r="Q19" s="156" t="s">
        <v>363</v>
      </c>
      <c r="R19" s="161">
        <v>51209.175000000003</v>
      </c>
      <c r="S19" s="158">
        <v>63478.875749999999</v>
      </c>
      <c r="T19" s="159">
        <v>61279.425000000003</v>
      </c>
      <c r="U19" s="2"/>
      <c r="V19" s="156" t="s">
        <v>363</v>
      </c>
      <c r="W19" s="153">
        <v>100</v>
      </c>
      <c r="X19" s="2"/>
      <c r="Y19" s="3"/>
    </row>
    <row r="20" spans="5:25" ht="14.4" customHeight="1" x14ac:dyDescent="0.3">
      <c r="E20" s="76"/>
      <c r="F20" s="76"/>
      <c r="G20" s="77"/>
      <c r="H20" s="10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3"/>
    </row>
    <row r="21" spans="5:25" ht="14.4" customHeight="1" x14ac:dyDescent="0.3">
      <c r="E21" s="76"/>
      <c r="F21" s="76"/>
      <c r="G21" s="77"/>
      <c r="H21" s="10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3"/>
    </row>
    <row r="22" spans="5:25" x14ac:dyDescent="0.3">
      <c r="H22" s="10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3"/>
    </row>
    <row r="23" spans="5:25" ht="15" thickBot="1" x14ac:dyDescent="0.35">
      <c r="H23" s="104"/>
      <c r="I23" s="2"/>
      <c r="J23" s="28" t="s">
        <v>356</v>
      </c>
      <c r="K23" s="103"/>
      <c r="L23" s="107">
        <f ca="1">SUM(PR!N6:N105)</f>
        <v>63478.875749999985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"/>
    </row>
    <row r="24" spans="5:25" x14ac:dyDescent="0.3">
      <c r="H24" s="104"/>
      <c r="I24" s="2"/>
      <c r="J24" s="103"/>
      <c r="K24" s="103"/>
      <c r="L24" s="22"/>
      <c r="M24" s="2"/>
      <c r="N24" s="2"/>
      <c r="O24" s="122" t="s">
        <v>379</v>
      </c>
      <c r="P24" s="123"/>
      <c r="Q24" s="124"/>
      <c r="R24" s="2"/>
      <c r="S24" s="28" t="s">
        <v>351</v>
      </c>
      <c r="T24" s="103"/>
      <c r="U24" s="22">
        <f>COUNTA(IR!A2:A101)</f>
        <v>100</v>
      </c>
      <c r="V24" s="2"/>
      <c r="W24" s="2"/>
      <c r="X24" s="2"/>
      <c r="Y24" s="3"/>
    </row>
    <row r="25" spans="5:25" x14ac:dyDescent="0.3">
      <c r="H25" s="104"/>
      <c r="I25" s="2"/>
      <c r="J25" s="28" t="s">
        <v>357</v>
      </c>
      <c r="K25" s="103"/>
      <c r="L25" s="107">
        <f>SUM(PR!L6:L105)</f>
        <v>61279.425000000003</v>
      </c>
      <c r="M25" s="2"/>
      <c r="N25" s="2"/>
      <c r="O25" s="1"/>
      <c r="P25" s="2"/>
      <c r="Q25" s="3"/>
      <c r="R25" s="2"/>
      <c r="S25" s="103"/>
      <c r="T25" s="103"/>
      <c r="U25" s="22"/>
      <c r="V25" s="2"/>
      <c r="W25" s="2"/>
      <c r="X25" s="2"/>
      <c r="Y25" s="3"/>
    </row>
    <row r="26" spans="5:25" x14ac:dyDescent="0.3">
      <c r="H26" s="104"/>
      <c r="I26" s="103"/>
      <c r="J26" s="103"/>
      <c r="K26" s="103"/>
      <c r="L26" s="22"/>
      <c r="M26" s="2"/>
      <c r="N26" s="2"/>
      <c r="O26" s="1" t="s">
        <v>380</v>
      </c>
      <c r="P26" s="2"/>
      <c r="Q26" s="100">
        <f>COUNTIF(Table6[[Status ]],DASHBOARD!O26)</f>
        <v>8</v>
      </c>
      <c r="R26" s="2"/>
      <c r="S26" s="28" t="s">
        <v>352</v>
      </c>
      <c r="T26" s="108"/>
      <c r="U26" s="109">
        <f>SUM(IR!$D$2:$D$101)</f>
        <v>112488.6</v>
      </c>
      <c r="V26" s="2"/>
      <c r="W26" s="2"/>
      <c r="X26" s="2"/>
      <c r="Y26" s="3"/>
    </row>
    <row r="27" spans="5:25" x14ac:dyDescent="0.3">
      <c r="H27" s="104"/>
      <c r="I27" s="103"/>
      <c r="J27" s="28" t="s">
        <v>358</v>
      </c>
      <c r="K27" s="103"/>
      <c r="L27" s="107">
        <f>SUM(PR!M6:M105)</f>
        <v>51209.175000000003</v>
      </c>
      <c r="M27" s="2"/>
      <c r="N27" s="2"/>
      <c r="O27" s="1" t="s">
        <v>381</v>
      </c>
      <c r="P27" s="2"/>
      <c r="Q27" s="100">
        <f>COUNTIF(Table6[[Status ]],DASHBOARD!O27)</f>
        <v>3</v>
      </c>
      <c r="R27" s="2"/>
      <c r="S27" s="103"/>
      <c r="T27" s="103"/>
      <c r="U27" s="22"/>
      <c r="V27" s="2"/>
      <c r="W27" s="2"/>
      <c r="X27" s="2"/>
      <c r="Y27" s="3"/>
    </row>
    <row r="28" spans="5:25" x14ac:dyDescent="0.3">
      <c r="H28" s="104"/>
      <c r="I28" s="103"/>
      <c r="J28" s="103"/>
      <c r="K28" s="103"/>
      <c r="L28" s="22"/>
      <c r="M28" s="2"/>
      <c r="N28" s="2"/>
      <c r="O28" s="1" t="s">
        <v>382</v>
      </c>
      <c r="P28" s="2"/>
      <c r="Q28" s="100">
        <f>COUNTIF(Table6[[Status ]],DASHBOARD!O28)</f>
        <v>89</v>
      </c>
      <c r="R28" s="2"/>
      <c r="S28" s="28" t="s">
        <v>353</v>
      </c>
      <c r="T28" s="108"/>
      <c r="U28" s="109">
        <f>AVERAGE(IR!D2:D101)</f>
        <v>1124.886</v>
      </c>
      <c r="V28" s="2"/>
      <c r="W28" s="2"/>
      <c r="X28" s="2"/>
      <c r="Y28" s="3"/>
    </row>
    <row r="29" spans="5:25" ht="15" thickBot="1" x14ac:dyDescent="0.35">
      <c r="H29" s="104"/>
      <c r="I29" s="103"/>
      <c r="J29" s="28" t="s">
        <v>359</v>
      </c>
      <c r="K29" s="103"/>
      <c r="L29" s="107">
        <f ca="1">AVERAGE(PR!$N$6:$N$105)</f>
        <v>634.78875749999986</v>
      </c>
      <c r="M29" s="2"/>
      <c r="N29" s="2"/>
      <c r="O29" s="4"/>
      <c r="P29" s="5"/>
      <c r="Q29" s="6"/>
      <c r="R29" s="2"/>
      <c r="S29" s="103"/>
      <c r="T29" s="103"/>
      <c r="U29" s="22"/>
      <c r="V29" s="2"/>
      <c r="W29" s="2"/>
      <c r="X29" s="2"/>
      <c r="Y29" s="3"/>
    </row>
    <row r="30" spans="5:25" x14ac:dyDescent="0.3">
      <c r="H30" s="104"/>
      <c r="I30" s="103"/>
      <c r="J30" s="103"/>
      <c r="K30" s="103"/>
      <c r="L30" s="107"/>
      <c r="M30" s="2"/>
      <c r="N30" s="2"/>
      <c r="O30" s="2"/>
      <c r="P30" s="2"/>
      <c r="Q30" s="2"/>
      <c r="R30" s="2"/>
      <c r="S30" s="28" t="s">
        <v>354</v>
      </c>
      <c r="T30" s="108"/>
      <c r="U30" s="22">
        <f>MIN(IR!$D$2:$D$101)</f>
        <v>265.5</v>
      </c>
      <c r="V30" s="2"/>
      <c r="W30" s="2"/>
      <c r="X30" s="2"/>
      <c r="Y30" s="3"/>
    </row>
    <row r="31" spans="5:25" ht="15" thickBot="1" x14ac:dyDescent="0.35">
      <c r="H31" s="104"/>
      <c r="I31" s="103"/>
      <c r="J31" s="28" t="s">
        <v>360</v>
      </c>
      <c r="K31" s="103"/>
      <c r="L31" s="107">
        <f ca="1">MIN(PR!$N$6:$N$105)</f>
        <v>140</v>
      </c>
      <c r="M31" s="2"/>
      <c r="N31" s="2"/>
      <c r="O31" s="2"/>
      <c r="P31" s="2"/>
      <c r="Q31" s="2"/>
      <c r="R31" s="2"/>
      <c r="S31" s="103"/>
      <c r="T31" s="103"/>
      <c r="U31" s="22"/>
      <c r="V31" s="2"/>
      <c r="W31" s="2"/>
      <c r="X31" s="2"/>
      <c r="Y31" s="3"/>
    </row>
    <row r="32" spans="5:25" ht="18" x14ac:dyDescent="0.3">
      <c r="H32" s="104"/>
      <c r="I32" s="103"/>
      <c r="J32" s="103"/>
      <c r="K32" s="103"/>
      <c r="L32" s="107"/>
      <c r="M32" s="2"/>
      <c r="N32" s="2"/>
      <c r="O32" s="2"/>
      <c r="P32" s="131" t="s">
        <v>393</v>
      </c>
      <c r="Q32" s="132"/>
      <c r="R32" s="2"/>
      <c r="S32" s="28" t="s">
        <v>355</v>
      </c>
      <c r="T32" s="108"/>
      <c r="U32" s="22">
        <f>MAX(IR!$D$2:$D$101)</f>
        <v>2850</v>
      </c>
      <c r="V32" s="2"/>
      <c r="W32" s="2"/>
      <c r="X32" s="2"/>
      <c r="Y32" s="3"/>
    </row>
    <row r="33" spans="8:25" x14ac:dyDescent="0.3">
      <c r="H33" s="1"/>
      <c r="I33" s="2"/>
      <c r="J33" s="28" t="s">
        <v>361</v>
      </c>
      <c r="K33" s="103"/>
      <c r="L33" s="107">
        <f ca="1">MAX(PR!$N$6:$N$105)</f>
        <v>1675</v>
      </c>
      <c r="M33" s="2"/>
      <c r="N33" s="2"/>
      <c r="O33" s="2"/>
      <c r="P33" s="1" t="s">
        <v>380</v>
      </c>
      <c r="Q33" s="3">
        <f>Q26</f>
        <v>8</v>
      </c>
      <c r="R33" s="2"/>
      <c r="S33" s="2"/>
      <c r="T33" s="2"/>
      <c r="U33" s="2"/>
      <c r="V33" s="2"/>
      <c r="W33" s="2"/>
      <c r="X33" s="2"/>
      <c r="Y33" s="3"/>
    </row>
    <row r="34" spans="8:25" x14ac:dyDescent="0.3">
      <c r="H34" s="1"/>
      <c r="I34" s="2"/>
      <c r="J34" s="2"/>
      <c r="K34" s="2"/>
      <c r="L34" s="2"/>
      <c r="M34" s="2"/>
      <c r="N34" s="2"/>
      <c r="O34" s="2"/>
      <c r="P34" s="1" t="s">
        <v>382</v>
      </c>
      <c r="Q34" s="3">
        <f>Q28</f>
        <v>89</v>
      </c>
      <c r="R34" s="2"/>
      <c r="S34" s="2"/>
      <c r="T34" s="2"/>
      <c r="U34" s="2"/>
      <c r="V34" s="2"/>
      <c r="W34" s="2"/>
      <c r="X34" s="2"/>
      <c r="Y34" s="3"/>
    </row>
    <row r="35" spans="8:25" ht="15" thickBot="1" x14ac:dyDescent="0.35">
      <c r="H35" s="1"/>
      <c r="I35" s="2"/>
      <c r="J35" s="2"/>
      <c r="K35" s="2"/>
      <c r="L35" s="2"/>
      <c r="M35" s="2"/>
      <c r="N35" s="2"/>
      <c r="O35" s="2"/>
      <c r="P35" s="4"/>
      <c r="Q35" s="110">
        <f>Q33/Q34</f>
        <v>8.98876404494382E-2</v>
      </c>
      <c r="R35" s="2"/>
      <c r="S35" s="2"/>
      <c r="T35" s="2"/>
      <c r="U35" s="2"/>
      <c r="V35" s="2"/>
      <c r="W35" s="2"/>
      <c r="X35" s="2"/>
      <c r="Y35" s="3"/>
    </row>
    <row r="36" spans="8:25" x14ac:dyDescent="0.3"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3"/>
    </row>
    <row r="37" spans="8:25" x14ac:dyDescent="0.3"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3"/>
    </row>
    <row r="38" spans="8:25" x14ac:dyDescent="0.3"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3"/>
    </row>
    <row r="39" spans="8:25" x14ac:dyDescent="0.3"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3"/>
    </row>
    <row r="40" spans="8:25" x14ac:dyDescent="0.3"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3"/>
    </row>
    <row r="41" spans="8:25" x14ac:dyDescent="0.3"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3"/>
    </row>
    <row r="42" spans="8:25" x14ac:dyDescent="0.3"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3"/>
    </row>
    <row r="43" spans="8:25" x14ac:dyDescent="0.3"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3"/>
    </row>
    <row r="44" spans="8:25" x14ac:dyDescent="0.3"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3"/>
    </row>
    <row r="45" spans="8:25" x14ac:dyDescent="0.3"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3"/>
    </row>
    <row r="46" spans="8:25" x14ac:dyDescent="0.3"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3"/>
    </row>
    <row r="47" spans="8:25" x14ac:dyDescent="0.3"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3"/>
    </row>
    <row r="48" spans="8:25" x14ac:dyDescent="0.3"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3"/>
    </row>
    <row r="49" spans="8:25" x14ac:dyDescent="0.3"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3"/>
    </row>
    <row r="50" spans="8:25" x14ac:dyDescent="0.3"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3"/>
    </row>
    <row r="51" spans="8:25" x14ac:dyDescent="0.3"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3"/>
    </row>
    <row r="52" spans="8:25" x14ac:dyDescent="0.3"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3"/>
    </row>
    <row r="53" spans="8:25" x14ac:dyDescent="0.3"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3"/>
    </row>
    <row r="54" spans="8:25" x14ac:dyDescent="0.3"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3"/>
    </row>
    <row r="55" spans="8:25" x14ac:dyDescent="0.3"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3"/>
    </row>
    <row r="56" spans="8:25" x14ac:dyDescent="0.3"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3"/>
    </row>
    <row r="57" spans="8:25" x14ac:dyDescent="0.3"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3"/>
    </row>
    <row r="58" spans="8:25" x14ac:dyDescent="0.3"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3"/>
    </row>
    <row r="59" spans="8:25" x14ac:dyDescent="0.3"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3"/>
    </row>
    <row r="60" spans="8:25" x14ac:dyDescent="0.3"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3"/>
    </row>
    <row r="61" spans="8:25" x14ac:dyDescent="0.3"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3"/>
    </row>
    <row r="62" spans="8:25" x14ac:dyDescent="0.3"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3"/>
    </row>
    <row r="63" spans="8:25" x14ac:dyDescent="0.3"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3"/>
    </row>
    <row r="64" spans="8:25" x14ac:dyDescent="0.3"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3"/>
    </row>
    <row r="65" spans="8:25" x14ac:dyDescent="0.3"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3"/>
    </row>
    <row r="66" spans="8:25" x14ac:dyDescent="0.3"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3"/>
    </row>
    <row r="67" spans="8:25" x14ac:dyDescent="0.3"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3"/>
    </row>
    <row r="68" spans="8:25" x14ac:dyDescent="0.3"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3"/>
    </row>
    <row r="69" spans="8:25" x14ac:dyDescent="0.3"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3"/>
    </row>
    <row r="70" spans="8:25" x14ac:dyDescent="0.3"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3"/>
    </row>
    <row r="71" spans="8:25" x14ac:dyDescent="0.3"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3"/>
    </row>
    <row r="72" spans="8:25" x14ac:dyDescent="0.3"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3"/>
    </row>
    <row r="73" spans="8:25" x14ac:dyDescent="0.3"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3"/>
    </row>
    <row r="74" spans="8:25" x14ac:dyDescent="0.3"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3"/>
    </row>
    <row r="75" spans="8:25" x14ac:dyDescent="0.3"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3"/>
    </row>
    <row r="76" spans="8:25" x14ac:dyDescent="0.3">
      <c r="H76" s="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3"/>
    </row>
    <row r="77" spans="8:25" x14ac:dyDescent="0.3">
      <c r="H77" s="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3"/>
    </row>
    <row r="78" spans="8:25" x14ac:dyDescent="0.3">
      <c r="H78" s="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3"/>
    </row>
    <row r="79" spans="8:25" ht="15" thickBot="1" x14ac:dyDescent="0.35"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6"/>
    </row>
  </sheetData>
  <mergeCells count="3">
    <mergeCell ref="O24:Q24"/>
    <mergeCell ref="H2:Y4"/>
    <mergeCell ref="P32:Q32"/>
  </mergeCells>
  <pageMargins left="0.7" right="0.7" top="0.75" bottom="0.75" header="0.3" footer="0.3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zoomScale="76" zoomScaleNormal="70" workbookViewId="0">
      <selection activeCell="J8" sqref="J8"/>
    </sheetView>
  </sheetViews>
  <sheetFormatPr defaultRowHeight="14.4" x14ac:dyDescent="0.3"/>
  <cols>
    <col min="1" max="4" width="19.33203125" customWidth="1"/>
    <col min="5" max="5" width="20.44140625" bestFit="1" customWidth="1"/>
    <col min="6" max="6" width="19.33203125" customWidth="1"/>
    <col min="12" max="12" width="13.33203125" bestFit="1" customWidth="1"/>
    <col min="14" max="14" width="2" customWidth="1"/>
    <col min="15" max="15" width="15.88671875" customWidth="1"/>
    <col min="16" max="16" width="13.21875" customWidth="1"/>
    <col min="17" max="17" width="14.6640625" customWidth="1"/>
    <col min="18" max="18" width="18" customWidth="1"/>
    <col min="19" max="19" width="16.6640625" customWidth="1"/>
    <col min="20" max="20" width="16.5546875" customWidth="1"/>
  </cols>
  <sheetData>
    <row r="1" spans="1:6" ht="28.8" x14ac:dyDescent="0.3">
      <c r="A1" s="18" t="s">
        <v>12</v>
      </c>
      <c r="B1" s="18" t="s">
        <v>13</v>
      </c>
      <c r="C1" s="18" t="s">
        <v>341</v>
      </c>
      <c r="D1" s="19" t="s">
        <v>14</v>
      </c>
      <c r="E1" s="18" t="s">
        <v>15</v>
      </c>
      <c r="F1" s="18" t="s">
        <v>16</v>
      </c>
    </row>
    <row r="2" spans="1:6" x14ac:dyDescent="0.3">
      <c r="A2" s="20" t="s">
        <v>17</v>
      </c>
      <c r="B2" s="20" t="s">
        <v>18</v>
      </c>
      <c r="C2" s="21">
        <v>46311</v>
      </c>
      <c r="D2" s="26">
        <v>450</v>
      </c>
      <c r="E2" s="20" t="s">
        <v>19</v>
      </c>
      <c r="F2" s="20" t="s">
        <v>20</v>
      </c>
    </row>
    <row r="3" spans="1:6" x14ac:dyDescent="0.3">
      <c r="A3" s="20" t="s">
        <v>21</v>
      </c>
      <c r="B3" s="20" t="s">
        <v>22</v>
      </c>
      <c r="C3" s="21">
        <v>46254</v>
      </c>
      <c r="D3" s="26">
        <v>1250.5</v>
      </c>
      <c r="E3" s="20" t="s">
        <v>23</v>
      </c>
      <c r="F3" s="20" t="s">
        <v>24</v>
      </c>
    </row>
    <row r="4" spans="1:6" x14ac:dyDescent="0.3">
      <c r="A4" s="20" t="s">
        <v>25</v>
      </c>
      <c r="B4" s="20" t="s">
        <v>26</v>
      </c>
      <c r="C4" s="21">
        <v>46259</v>
      </c>
      <c r="D4" s="26">
        <v>785.25</v>
      </c>
      <c r="E4" s="20" t="s">
        <v>27</v>
      </c>
      <c r="F4" s="20" t="s">
        <v>28</v>
      </c>
    </row>
    <row r="5" spans="1:6" x14ac:dyDescent="0.3">
      <c r="A5" s="20" t="s">
        <v>29</v>
      </c>
      <c r="B5" s="20" t="s">
        <v>30</v>
      </c>
      <c r="C5" s="21">
        <v>46267</v>
      </c>
      <c r="D5" s="26">
        <v>320</v>
      </c>
      <c r="E5" s="20" t="s">
        <v>31</v>
      </c>
      <c r="F5" s="20" t="s">
        <v>32</v>
      </c>
    </row>
    <row r="6" spans="1:6" ht="14.4" customHeight="1" x14ac:dyDescent="0.3">
      <c r="A6" s="20" t="s">
        <v>33</v>
      </c>
      <c r="B6" s="20" t="s">
        <v>34</v>
      </c>
      <c r="C6" s="21">
        <v>46270</v>
      </c>
      <c r="D6" s="26">
        <v>2100</v>
      </c>
      <c r="E6" s="20" t="s">
        <v>35</v>
      </c>
      <c r="F6" s="20" t="s">
        <v>36</v>
      </c>
    </row>
    <row r="7" spans="1:6" ht="14.4" customHeight="1" x14ac:dyDescent="0.3">
      <c r="A7" s="20" t="s">
        <v>37</v>
      </c>
      <c r="B7" s="20" t="s">
        <v>38</v>
      </c>
      <c r="C7" s="21">
        <v>46275</v>
      </c>
      <c r="D7" s="26">
        <v>675.8</v>
      </c>
      <c r="E7" s="20" t="s">
        <v>39</v>
      </c>
      <c r="F7" s="20" t="s">
        <v>40</v>
      </c>
    </row>
    <row r="8" spans="1:6" ht="15" customHeight="1" x14ac:dyDescent="0.3">
      <c r="A8" s="20" t="s">
        <v>41</v>
      </c>
      <c r="B8" s="20" t="s">
        <v>42</v>
      </c>
      <c r="C8" s="21">
        <v>46277</v>
      </c>
      <c r="D8" s="26">
        <v>540</v>
      </c>
      <c r="E8" s="20" t="s">
        <v>43</v>
      </c>
      <c r="F8" s="20" t="s">
        <v>44</v>
      </c>
    </row>
    <row r="9" spans="1:6" x14ac:dyDescent="0.3">
      <c r="A9" s="20" t="s">
        <v>45</v>
      </c>
      <c r="B9" s="20" t="s">
        <v>46</v>
      </c>
      <c r="C9" s="21">
        <v>46280</v>
      </c>
      <c r="D9" s="26">
        <v>1890.75</v>
      </c>
      <c r="E9" s="20" t="s">
        <v>47</v>
      </c>
      <c r="F9" s="20" t="s">
        <v>48</v>
      </c>
    </row>
    <row r="10" spans="1:6" x14ac:dyDescent="0.3">
      <c r="A10" s="20" t="s">
        <v>49</v>
      </c>
      <c r="B10" s="20" t="s">
        <v>50</v>
      </c>
      <c r="C10" s="21">
        <v>46283</v>
      </c>
      <c r="D10" s="26">
        <v>265.5</v>
      </c>
      <c r="E10" s="20" t="s">
        <v>51</v>
      </c>
      <c r="F10" s="20" t="s">
        <v>52</v>
      </c>
    </row>
    <row r="11" spans="1:6" x14ac:dyDescent="0.3">
      <c r="A11" s="20" t="s">
        <v>53</v>
      </c>
      <c r="B11" s="20" t="s">
        <v>54</v>
      </c>
      <c r="C11" s="21">
        <v>46285</v>
      </c>
      <c r="D11" s="26">
        <v>980</v>
      </c>
      <c r="E11" s="20" t="s">
        <v>55</v>
      </c>
      <c r="F11" s="20" t="s">
        <v>56</v>
      </c>
    </row>
    <row r="12" spans="1:6" x14ac:dyDescent="0.3">
      <c r="A12" s="20" t="s">
        <v>57</v>
      </c>
      <c r="B12" s="20" t="s">
        <v>58</v>
      </c>
      <c r="C12" s="21">
        <v>46287</v>
      </c>
      <c r="D12" s="26">
        <v>1450</v>
      </c>
      <c r="E12" s="20" t="s">
        <v>23</v>
      </c>
      <c r="F12" s="20" t="s">
        <v>59</v>
      </c>
    </row>
    <row r="13" spans="1:6" x14ac:dyDescent="0.3">
      <c r="A13" s="20" t="s">
        <v>60</v>
      </c>
      <c r="B13" s="20" t="s">
        <v>61</v>
      </c>
      <c r="C13" s="21">
        <v>46290</v>
      </c>
      <c r="D13" s="26">
        <v>375.25</v>
      </c>
      <c r="E13" s="20" t="s">
        <v>19</v>
      </c>
      <c r="F13" s="20" t="s">
        <v>62</v>
      </c>
    </row>
    <row r="14" spans="1:6" x14ac:dyDescent="0.3">
      <c r="A14" s="20" t="s">
        <v>63</v>
      </c>
      <c r="B14" s="20" t="s">
        <v>64</v>
      </c>
      <c r="C14" s="21">
        <v>46293</v>
      </c>
      <c r="D14" s="26">
        <v>2750</v>
      </c>
      <c r="E14" s="20" t="s">
        <v>27</v>
      </c>
      <c r="F14" s="20" t="s">
        <v>65</v>
      </c>
    </row>
    <row r="15" spans="1:6" ht="13.8" customHeight="1" x14ac:dyDescent="0.3">
      <c r="A15" s="20" t="s">
        <v>66</v>
      </c>
      <c r="B15" s="20" t="s">
        <v>67</v>
      </c>
      <c r="C15" s="21">
        <v>46295</v>
      </c>
      <c r="D15" s="26">
        <v>625</v>
      </c>
      <c r="E15" s="20" t="s">
        <v>31</v>
      </c>
      <c r="F15" s="20" t="s">
        <v>68</v>
      </c>
    </row>
    <row r="16" spans="1:6" x14ac:dyDescent="0.3">
      <c r="A16" s="20" t="s">
        <v>69</v>
      </c>
      <c r="B16" s="20" t="s">
        <v>70</v>
      </c>
      <c r="C16" s="21">
        <v>46175</v>
      </c>
      <c r="D16" s="26">
        <v>1120.8</v>
      </c>
      <c r="E16" s="20" t="s">
        <v>35</v>
      </c>
      <c r="F16" s="20" t="s">
        <v>71</v>
      </c>
    </row>
    <row r="17" spans="1:6" x14ac:dyDescent="0.3">
      <c r="A17" s="20" t="s">
        <v>72</v>
      </c>
      <c r="B17" s="20" t="s">
        <v>73</v>
      </c>
      <c r="C17" s="21">
        <v>46299</v>
      </c>
      <c r="D17" s="26">
        <v>890</v>
      </c>
      <c r="E17" s="20" t="s">
        <v>39</v>
      </c>
      <c r="F17" s="20" t="s">
        <v>74</v>
      </c>
    </row>
    <row r="18" spans="1:6" x14ac:dyDescent="0.3">
      <c r="A18" s="20" t="s">
        <v>75</v>
      </c>
      <c r="B18" s="20" t="s">
        <v>76</v>
      </c>
      <c r="C18" s="21">
        <v>46301</v>
      </c>
      <c r="D18" s="26">
        <v>410.5</v>
      </c>
      <c r="E18" s="20" t="s">
        <v>43</v>
      </c>
      <c r="F18" s="20" t="s">
        <v>77</v>
      </c>
    </row>
    <row r="19" spans="1:6" x14ac:dyDescent="0.3">
      <c r="A19" s="20" t="s">
        <v>78</v>
      </c>
      <c r="B19" s="20" t="s">
        <v>79</v>
      </c>
      <c r="C19" s="21">
        <v>46303</v>
      </c>
      <c r="D19" s="26">
        <v>1675</v>
      </c>
      <c r="E19" s="20" t="s">
        <v>47</v>
      </c>
      <c r="F19" s="20" t="s">
        <v>80</v>
      </c>
    </row>
    <row r="20" spans="1:6" x14ac:dyDescent="0.3">
      <c r="A20" s="20" t="s">
        <v>81</v>
      </c>
      <c r="B20" s="20" t="s">
        <v>82</v>
      </c>
      <c r="C20" s="21">
        <v>46305</v>
      </c>
      <c r="D20" s="26">
        <v>295</v>
      </c>
      <c r="E20" s="20" t="s">
        <v>51</v>
      </c>
      <c r="F20" s="20" t="s">
        <v>83</v>
      </c>
    </row>
    <row r="21" spans="1:6" x14ac:dyDescent="0.3">
      <c r="A21" s="20" t="s">
        <v>84</v>
      </c>
      <c r="B21" s="20" t="s">
        <v>85</v>
      </c>
      <c r="C21" s="21">
        <v>46307</v>
      </c>
      <c r="D21" s="26">
        <v>1350.25</v>
      </c>
      <c r="E21" s="20" t="s">
        <v>55</v>
      </c>
      <c r="F21" s="20" t="s">
        <v>86</v>
      </c>
    </row>
    <row r="22" spans="1:6" x14ac:dyDescent="0.3">
      <c r="A22" s="20" t="s">
        <v>87</v>
      </c>
      <c r="B22" s="20" t="s">
        <v>88</v>
      </c>
      <c r="C22" s="21">
        <v>46309</v>
      </c>
      <c r="D22" s="26">
        <v>725</v>
      </c>
      <c r="E22" s="20" t="s">
        <v>19</v>
      </c>
      <c r="F22" s="20" t="s">
        <v>89</v>
      </c>
    </row>
    <row r="23" spans="1:6" x14ac:dyDescent="0.3">
      <c r="A23" s="20" t="s">
        <v>90</v>
      </c>
      <c r="B23" s="20" t="s">
        <v>91</v>
      </c>
      <c r="C23" s="21">
        <v>46311</v>
      </c>
      <c r="D23" s="26">
        <v>2350.5</v>
      </c>
      <c r="E23" s="20" t="s">
        <v>23</v>
      </c>
      <c r="F23" s="20" t="s">
        <v>92</v>
      </c>
    </row>
    <row r="24" spans="1:6" x14ac:dyDescent="0.3">
      <c r="A24" s="20" t="s">
        <v>93</v>
      </c>
      <c r="B24" s="20" t="s">
        <v>94</v>
      </c>
      <c r="C24" s="21">
        <v>46252</v>
      </c>
      <c r="D24" s="26">
        <v>560</v>
      </c>
      <c r="E24" s="20" t="s">
        <v>27</v>
      </c>
      <c r="F24" s="20" t="s">
        <v>95</v>
      </c>
    </row>
    <row r="25" spans="1:6" x14ac:dyDescent="0.3">
      <c r="A25" s="20" t="s">
        <v>96</v>
      </c>
      <c r="B25" s="20" t="s">
        <v>97</v>
      </c>
      <c r="C25" s="21">
        <v>46256</v>
      </c>
      <c r="D25" s="26">
        <v>1025.75</v>
      </c>
      <c r="E25" s="20" t="s">
        <v>31</v>
      </c>
      <c r="F25" s="20" t="s">
        <v>98</v>
      </c>
    </row>
    <row r="26" spans="1:6" x14ac:dyDescent="0.3">
      <c r="A26" s="20" t="s">
        <v>99</v>
      </c>
      <c r="B26" s="20" t="s">
        <v>100</v>
      </c>
      <c r="C26" s="21">
        <v>46262</v>
      </c>
      <c r="D26" s="26">
        <v>440</v>
      </c>
      <c r="E26" s="20" t="s">
        <v>35</v>
      </c>
      <c r="F26" s="20" t="s">
        <v>101</v>
      </c>
    </row>
    <row r="27" spans="1:6" x14ac:dyDescent="0.3">
      <c r="A27" s="20" t="s">
        <v>102</v>
      </c>
      <c r="B27" s="20" t="s">
        <v>103</v>
      </c>
      <c r="C27" s="21">
        <v>46268</v>
      </c>
      <c r="D27" s="26">
        <v>1780</v>
      </c>
      <c r="E27" s="20" t="s">
        <v>39</v>
      </c>
      <c r="F27" s="20" t="s">
        <v>104</v>
      </c>
    </row>
    <row r="28" spans="1:6" x14ac:dyDescent="0.3">
      <c r="A28" s="20" t="s">
        <v>105</v>
      </c>
      <c r="B28" s="20" t="s">
        <v>106</v>
      </c>
      <c r="C28" s="21">
        <v>46272</v>
      </c>
      <c r="D28" s="26">
        <v>315.25</v>
      </c>
      <c r="E28" s="20" t="s">
        <v>43</v>
      </c>
      <c r="F28" s="20" t="s">
        <v>107</v>
      </c>
    </row>
    <row r="29" spans="1:6" x14ac:dyDescent="0.3">
      <c r="A29" s="20" t="s">
        <v>108</v>
      </c>
      <c r="B29" s="20" t="s">
        <v>109</v>
      </c>
      <c r="C29" s="21">
        <v>46276</v>
      </c>
      <c r="D29" s="26">
        <v>940</v>
      </c>
      <c r="E29" s="20" t="s">
        <v>47</v>
      </c>
      <c r="F29" s="20" t="s">
        <v>110</v>
      </c>
    </row>
    <row r="30" spans="1:6" x14ac:dyDescent="0.3">
      <c r="A30" s="20" t="s">
        <v>111</v>
      </c>
      <c r="B30" s="20" t="s">
        <v>112</v>
      </c>
      <c r="C30" s="21">
        <v>46279</v>
      </c>
      <c r="D30" s="26">
        <v>2450</v>
      </c>
      <c r="E30" s="20" t="s">
        <v>51</v>
      </c>
      <c r="F30" s="20" t="s">
        <v>113</v>
      </c>
    </row>
    <row r="31" spans="1:6" x14ac:dyDescent="0.3">
      <c r="A31" s="20" t="s">
        <v>114</v>
      </c>
      <c r="B31" s="20" t="s">
        <v>115</v>
      </c>
      <c r="C31" s="21">
        <v>46282</v>
      </c>
      <c r="D31" s="26">
        <v>685.5</v>
      </c>
      <c r="E31" s="20" t="s">
        <v>55</v>
      </c>
      <c r="F31" s="20" t="s">
        <v>116</v>
      </c>
    </row>
    <row r="32" spans="1:6" x14ac:dyDescent="0.3">
      <c r="A32" s="20" t="s">
        <v>117</v>
      </c>
      <c r="B32" s="20" t="s">
        <v>118</v>
      </c>
      <c r="C32" s="21">
        <v>46286</v>
      </c>
      <c r="D32" s="26">
        <v>1150</v>
      </c>
      <c r="E32" s="20" t="s">
        <v>19</v>
      </c>
      <c r="F32" s="20" t="s">
        <v>119</v>
      </c>
    </row>
    <row r="33" spans="1:6" x14ac:dyDescent="0.3">
      <c r="A33" s="20" t="s">
        <v>120</v>
      </c>
      <c r="B33" s="20" t="s">
        <v>121</v>
      </c>
      <c r="C33" s="21">
        <v>46289</v>
      </c>
      <c r="D33" s="26">
        <v>395.75</v>
      </c>
      <c r="E33" s="20" t="s">
        <v>23</v>
      </c>
      <c r="F33" s="20" t="s">
        <v>122</v>
      </c>
    </row>
    <row r="34" spans="1:6" x14ac:dyDescent="0.3">
      <c r="A34" s="20" t="s">
        <v>123</v>
      </c>
      <c r="B34" s="20" t="s">
        <v>124</v>
      </c>
      <c r="C34" s="21">
        <v>46292</v>
      </c>
      <c r="D34" s="26">
        <v>2850</v>
      </c>
      <c r="E34" s="20" t="s">
        <v>27</v>
      </c>
      <c r="F34" s="20" t="s">
        <v>125</v>
      </c>
    </row>
    <row r="35" spans="1:6" x14ac:dyDescent="0.3">
      <c r="A35" s="20" t="s">
        <v>126</v>
      </c>
      <c r="B35" s="20" t="s">
        <v>127</v>
      </c>
      <c r="C35" s="21">
        <v>46294</v>
      </c>
      <c r="D35" s="26">
        <v>760</v>
      </c>
      <c r="E35" s="20" t="s">
        <v>31</v>
      </c>
      <c r="F35" s="20" t="s">
        <v>128</v>
      </c>
    </row>
    <row r="36" spans="1:6" x14ac:dyDescent="0.3">
      <c r="A36" s="20" t="s">
        <v>129</v>
      </c>
      <c r="B36" s="20" t="s">
        <v>130</v>
      </c>
      <c r="C36" s="21">
        <v>46296</v>
      </c>
      <c r="D36" s="26">
        <v>1425.5</v>
      </c>
      <c r="E36" s="20" t="s">
        <v>35</v>
      </c>
      <c r="F36" s="20" t="s">
        <v>131</v>
      </c>
    </row>
    <row r="37" spans="1:6" x14ac:dyDescent="0.3">
      <c r="A37" s="20" t="s">
        <v>132</v>
      </c>
      <c r="B37" s="20" t="s">
        <v>133</v>
      </c>
      <c r="C37" s="21">
        <v>46298</v>
      </c>
      <c r="D37" s="26">
        <v>530</v>
      </c>
      <c r="E37" s="20" t="s">
        <v>39</v>
      </c>
      <c r="F37" s="20" t="s">
        <v>134</v>
      </c>
    </row>
    <row r="38" spans="1:6" x14ac:dyDescent="0.3">
      <c r="A38" s="20" t="s">
        <v>135</v>
      </c>
      <c r="B38" s="20" t="s">
        <v>136</v>
      </c>
      <c r="C38" s="21">
        <v>46300</v>
      </c>
      <c r="D38" s="26">
        <v>975.25</v>
      </c>
      <c r="E38" s="20" t="s">
        <v>43</v>
      </c>
      <c r="F38" s="20" t="s">
        <v>137</v>
      </c>
    </row>
    <row r="39" spans="1:6" x14ac:dyDescent="0.3">
      <c r="A39" s="20" t="s">
        <v>138</v>
      </c>
      <c r="B39" s="20" t="s">
        <v>139</v>
      </c>
      <c r="C39" s="21">
        <v>46302</v>
      </c>
      <c r="D39" s="26">
        <v>1850</v>
      </c>
      <c r="E39" s="20" t="s">
        <v>47</v>
      </c>
      <c r="F39" s="20" t="s">
        <v>140</v>
      </c>
    </row>
    <row r="40" spans="1:6" x14ac:dyDescent="0.3">
      <c r="A40" s="20" t="s">
        <v>141</v>
      </c>
      <c r="B40" s="20" t="s">
        <v>142</v>
      </c>
      <c r="C40" s="21">
        <v>46304</v>
      </c>
      <c r="D40" s="26">
        <v>280</v>
      </c>
      <c r="E40" s="20" t="s">
        <v>51</v>
      </c>
      <c r="F40" s="20" t="s">
        <v>143</v>
      </c>
    </row>
    <row r="41" spans="1:6" x14ac:dyDescent="0.3">
      <c r="A41" s="20" t="s">
        <v>144</v>
      </c>
      <c r="B41" s="20" t="s">
        <v>145</v>
      </c>
      <c r="C41" s="21">
        <v>46306</v>
      </c>
      <c r="D41" s="26">
        <v>1095.75</v>
      </c>
      <c r="E41" s="20" t="s">
        <v>55</v>
      </c>
      <c r="F41" s="20" t="s">
        <v>146</v>
      </c>
    </row>
    <row r="42" spans="1:6" x14ac:dyDescent="0.3">
      <c r="A42" s="20" t="s">
        <v>147</v>
      </c>
      <c r="B42" s="20" t="s">
        <v>148</v>
      </c>
      <c r="C42" s="21">
        <v>46308</v>
      </c>
      <c r="D42" s="26">
        <v>650</v>
      </c>
      <c r="E42" s="20" t="s">
        <v>19</v>
      </c>
      <c r="F42" s="20" t="s">
        <v>149</v>
      </c>
    </row>
    <row r="43" spans="1:6" x14ac:dyDescent="0.3">
      <c r="A43" s="20" t="s">
        <v>150</v>
      </c>
      <c r="B43" s="20" t="s">
        <v>151</v>
      </c>
      <c r="C43" s="21">
        <v>46310</v>
      </c>
      <c r="D43" s="26">
        <v>1980.5</v>
      </c>
      <c r="E43" s="20" t="s">
        <v>23</v>
      </c>
      <c r="F43" s="20" t="s">
        <v>152</v>
      </c>
    </row>
    <row r="44" spans="1:6" x14ac:dyDescent="0.3">
      <c r="A44" s="20" t="s">
        <v>153</v>
      </c>
      <c r="B44" s="20" t="s">
        <v>154</v>
      </c>
      <c r="C44" s="21">
        <v>46311</v>
      </c>
      <c r="D44" s="26">
        <v>845</v>
      </c>
      <c r="E44" s="20" t="s">
        <v>27</v>
      </c>
      <c r="F44" s="20" t="s">
        <v>155</v>
      </c>
    </row>
    <row r="45" spans="1:6" x14ac:dyDescent="0.3">
      <c r="A45" s="20" t="s">
        <v>156</v>
      </c>
      <c r="B45" s="20" t="s">
        <v>157</v>
      </c>
      <c r="C45" s="21">
        <v>46253</v>
      </c>
      <c r="D45" s="26">
        <v>420.25</v>
      </c>
      <c r="E45" s="20" t="s">
        <v>31</v>
      </c>
      <c r="F45" s="20" t="s">
        <v>158</v>
      </c>
    </row>
    <row r="46" spans="1:6" x14ac:dyDescent="0.3">
      <c r="A46" s="20" t="s">
        <v>159</v>
      </c>
      <c r="B46" s="20" t="s">
        <v>160</v>
      </c>
      <c r="C46" s="21">
        <v>46258</v>
      </c>
      <c r="D46" s="26">
        <v>2650</v>
      </c>
      <c r="E46" s="20" t="s">
        <v>35</v>
      </c>
      <c r="F46" s="20" t="s">
        <v>161</v>
      </c>
    </row>
    <row r="47" spans="1:6" x14ac:dyDescent="0.3">
      <c r="A47" s="20" t="s">
        <v>162</v>
      </c>
      <c r="B47" s="20" t="s">
        <v>163</v>
      </c>
      <c r="C47" s="21">
        <v>46263</v>
      </c>
      <c r="D47" s="26">
        <v>715.5</v>
      </c>
      <c r="E47" s="20" t="s">
        <v>39</v>
      </c>
      <c r="F47" s="20" t="s">
        <v>164</v>
      </c>
    </row>
    <row r="48" spans="1:6" x14ac:dyDescent="0.3">
      <c r="A48" s="20" t="s">
        <v>165</v>
      </c>
      <c r="B48" s="20" t="s">
        <v>166</v>
      </c>
      <c r="C48" s="21">
        <v>46269</v>
      </c>
      <c r="D48" s="26">
        <v>390</v>
      </c>
      <c r="E48" s="20" t="s">
        <v>43</v>
      </c>
      <c r="F48" s="20" t="s">
        <v>167</v>
      </c>
    </row>
    <row r="49" spans="1:6" x14ac:dyDescent="0.3">
      <c r="A49" s="20" t="s">
        <v>168</v>
      </c>
      <c r="B49" s="20" t="s">
        <v>169</v>
      </c>
      <c r="C49" s="21">
        <v>46273</v>
      </c>
      <c r="D49" s="26">
        <v>1560.75</v>
      </c>
      <c r="E49" s="20" t="s">
        <v>47</v>
      </c>
      <c r="F49" s="20" t="s">
        <v>170</v>
      </c>
    </row>
    <row r="50" spans="1:6" x14ac:dyDescent="0.3">
      <c r="A50" s="20" t="s">
        <v>171</v>
      </c>
      <c r="B50" s="20" t="s">
        <v>172</v>
      </c>
      <c r="C50" s="21">
        <v>46278</v>
      </c>
      <c r="D50" s="26">
        <v>305</v>
      </c>
      <c r="E50" s="20" t="s">
        <v>51</v>
      </c>
      <c r="F50" s="20" t="s">
        <v>173</v>
      </c>
    </row>
    <row r="51" spans="1:6" x14ac:dyDescent="0.3">
      <c r="A51" s="20" t="s">
        <v>174</v>
      </c>
      <c r="B51" s="20" t="s">
        <v>175</v>
      </c>
      <c r="C51" s="21">
        <v>46281</v>
      </c>
      <c r="D51" s="26">
        <v>1240</v>
      </c>
      <c r="E51" s="20" t="s">
        <v>55</v>
      </c>
      <c r="F51" s="20" t="s">
        <v>176</v>
      </c>
    </row>
    <row r="52" spans="1:6" x14ac:dyDescent="0.3">
      <c r="A52" s="20" t="s">
        <v>177</v>
      </c>
      <c r="B52" s="20" t="s">
        <v>178</v>
      </c>
      <c r="C52" s="21">
        <v>46284</v>
      </c>
      <c r="D52" s="26">
        <v>890.5</v>
      </c>
      <c r="E52" s="20" t="s">
        <v>19</v>
      </c>
      <c r="F52" s="20" t="s">
        <v>179</v>
      </c>
    </row>
    <row r="53" spans="1:6" x14ac:dyDescent="0.3">
      <c r="A53" s="20" t="s">
        <v>180</v>
      </c>
      <c r="B53" s="20" t="s">
        <v>181</v>
      </c>
      <c r="C53" s="21">
        <v>46288</v>
      </c>
      <c r="D53" s="26">
        <v>2150</v>
      </c>
      <c r="E53" s="20" t="s">
        <v>23</v>
      </c>
      <c r="F53" s="20" t="s">
        <v>182</v>
      </c>
    </row>
    <row r="54" spans="1:6" x14ac:dyDescent="0.3">
      <c r="A54" s="20" t="s">
        <v>183</v>
      </c>
      <c r="B54" s="20" t="s">
        <v>184</v>
      </c>
      <c r="C54" s="21">
        <v>46291</v>
      </c>
      <c r="D54" s="26">
        <v>475.25</v>
      </c>
      <c r="E54" s="20" t="s">
        <v>27</v>
      </c>
      <c r="F54" s="20" t="s">
        <v>185</v>
      </c>
    </row>
    <row r="55" spans="1:6" x14ac:dyDescent="0.3">
      <c r="A55" s="20" t="s">
        <v>186</v>
      </c>
      <c r="B55" s="20" t="s">
        <v>187</v>
      </c>
      <c r="C55" s="21">
        <v>46264</v>
      </c>
      <c r="D55" s="26">
        <v>1375</v>
      </c>
      <c r="E55" s="20" t="s">
        <v>31</v>
      </c>
      <c r="F55" s="20" t="s">
        <v>188</v>
      </c>
    </row>
    <row r="56" spans="1:6" x14ac:dyDescent="0.3">
      <c r="A56" s="20" t="s">
        <v>189</v>
      </c>
      <c r="B56" s="20" t="s">
        <v>190</v>
      </c>
      <c r="C56" s="21">
        <v>46271</v>
      </c>
      <c r="D56" s="26">
        <v>590</v>
      </c>
      <c r="E56" s="20" t="s">
        <v>35</v>
      </c>
      <c r="F56" s="20" t="s">
        <v>191</v>
      </c>
    </row>
    <row r="57" spans="1:6" x14ac:dyDescent="0.3">
      <c r="A57" s="20" t="s">
        <v>192</v>
      </c>
      <c r="B57" s="20" t="s">
        <v>193</v>
      </c>
      <c r="C57" s="21">
        <v>46274</v>
      </c>
      <c r="D57" s="26">
        <v>1920.5</v>
      </c>
      <c r="E57" s="20" t="s">
        <v>39</v>
      </c>
      <c r="F57" s="20" t="s">
        <v>194</v>
      </c>
    </row>
    <row r="58" spans="1:6" x14ac:dyDescent="0.3">
      <c r="A58" s="20" t="s">
        <v>195</v>
      </c>
      <c r="B58" s="20" t="s">
        <v>196</v>
      </c>
      <c r="C58" s="21">
        <v>46280</v>
      </c>
      <c r="D58" s="26">
        <v>345.75</v>
      </c>
      <c r="E58" s="20" t="s">
        <v>43</v>
      </c>
      <c r="F58" s="20" t="s">
        <v>197</v>
      </c>
    </row>
    <row r="59" spans="1:6" x14ac:dyDescent="0.3">
      <c r="A59" s="20" t="s">
        <v>198</v>
      </c>
      <c r="B59" s="20" t="s">
        <v>199</v>
      </c>
      <c r="C59" s="21">
        <v>46285</v>
      </c>
      <c r="D59" s="26">
        <v>1080</v>
      </c>
      <c r="E59" s="20" t="s">
        <v>47</v>
      </c>
      <c r="F59" s="20" t="s">
        <v>200</v>
      </c>
    </row>
    <row r="60" spans="1:6" x14ac:dyDescent="0.3">
      <c r="A60" s="20" t="s">
        <v>201</v>
      </c>
      <c r="B60" s="20" t="s">
        <v>202</v>
      </c>
      <c r="C60" s="21">
        <v>46290</v>
      </c>
      <c r="D60" s="26">
        <v>2420.25</v>
      </c>
      <c r="E60" s="20" t="s">
        <v>51</v>
      </c>
      <c r="F60" s="20" t="s">
        <v>203</v>
      </c>
    </row>
    <row r="61" spans="1:6" x14ac:dyDescent="0.3">
      <c r="A61" s="20" t="s">
        <v>204</v>
      </c>
      <c r="B61" s="20" t="s">
        <v>205</v>
      </c>
      <c r="C61" s="21">
        <v>46297</v>
      </c>
      <c r="D61" s="26">
        <v>695</v>
      </c>
      <c r="E61" s="20" t="s">
        <v>55</v>
      </c>
      <c r="F61" s="20" t="s">
        <v>206</v>
      </c>
    </row>
    <row r="62" spans="1:6" x14ac:dyDescent="0.3">
      <c r="A62" s="20" t="s">
        <v>207</v>
      </c>
      <c r="B62" s="20" t="s">
        <v>208</v>
      </c>
      <c r="C62" s="21">
        <v>46300</v>
      </c>
      <c r="D62" s="26">
        <v>1325.5</v>
      </c>
      <c r="E62" s="20" t="s">
        <v>19</v>
      </c>
      <c r="F62" s="20" t="s">
        <v>209</v>
      </c>
    </row>
    <row r="63" spans="1:6" x14ac:dyDescent="0.3">
      <c r="A63" s="20" t="s">
        <v>210</v>
      </c>
      <c r="B63" s="20" t="s">
        <v>211</v>
      </c>
      <c r="C63" s="21">
        <v>46303</v>
      </c>
      <c r="D63" s="26">
        <v>550</v>
      </c>
      <c r="E63" s="20" t="s">
        <v>23</v>
      </c>
      <c r="F63" s="20" t="s">
        <v>212</v>
      </c>
    </row>
    <row r="64" spans="1:6" x14ac:dyDescent="0.3">
      <c r="A64" s="20" t="s">
        <v>213</v>
      </c>
      <c r="B64" s="20" t="s">
        <v>214</v>
      </c>
      <c r="C64" s="21">
        <v>46306</v>
      </c>
      <c r="D64" s="26">
        <v>2780.75</v>
      </c>
      <c r="E64" s="20" t="s">
        <v>27</v>
      </c>
      <c r="F64" s="20" t="s">
        <v>215</v>
      </c>
    </row>
    <row r="65" spans="1:6" x14ac:dyDescent="0.3">
      <c r="A65" s="20" t="s">
        <v>216</v>
      </c>
      <c r="B65" s="20" t="s">
        <v>217</v>
      </c>
      <c r="C65" s="21">
        <v>46309</v>
      </c>
      <c r="D65" s="26">
        <v>810</v>
      </c>
      <c r="E65" s="20" t="s">
        <v>31</v>
      </c>
      <c r="F65" s="20" t="s">
        <v>218</v>
      </c>
    </row>
    <row r="66" spans="1:6" x14ac:dyDescent="0.3">
      <c r="A66" s="20" t="s">
        <v>219</v>
      </c>
      <c r="B66" s="20" t="s">
        <v>220</v>
      </c>
      <c r="C66" s="21">
        <v>46311</v>
      </c>
      <c r="D66" s="26">
        <v>1465.25</v>
      </c>
      <c r="E66" s="20" t="s">
        <v>35</v>
      </c>
      <c r="F66" s="20" t="s">
        <v>221</v>
      </c>
    </row>
    <row r="67" spans="1:6" x14ac:dyDescent="0.3">
      <c r="A67" s="20" t="s">
        <v>222</v>
      </c>
      <c r="B67" s="20" t="s">
        <v>223</v>
      </c>
      <c r="C67" s="21">
        <v>46251</v>
      </c>
      <c r="D67" s="26">
        <v>430</v>
      </c>
      <c r="E67" s="20" t="s">
        <v>39</v>
      </c>
      <c r="F67" s="20" t="s">
        <v>224</v>
      </c>
    </row>
    <row r="68" spans="1:6" x14ac:dyDescent="0.3">
      <c r="A68" s="20" t="s">
        <v>225</v>
      </c>
      <c r="B68" s="20" t="s">
        <v>226</v>
      </c>
      <c r="C68" s="21">
        <v>46255</v>
      </c>
      <c r="D68" s="26">
        <v>1020.5</v>
      </c>
      <c r="E68" s="20" t="s">
        <v>43</v>
      </c>
      <c r="F68" s="20" t="s">
        <v>227</v>
      </c>
    </row>
    <row r="69" spans="1:6" x14ac:dyDescent="0.3">
      <c r="A69" s="20" t="s">
        <v>228</v>
      </c>
      <c r="B69" s="20" t="s">
        <v>229</v>
      </c>
      <c r="C69" s="21">
        <v>46260</v>
      </c>
      <c r="D69" s="26">
        <v>1735</v>
      </c>
      <c r="E69" s="20" t="s">
        <v>47</v>
      </c>
      <c r="F69" s="20" t="s">
        <v>230</v>
      </c>
    </row>
    <row r="70" spans="1:6" x14ac:dyDescent="0.3">
      <c r="A70" s="20" t="s">
        <v>231</v>
      </c>
      <c r="B70" s="20" t="s">
        <v>232</v>
      </c>
      <c r="C70" s="21">
        <v>46265</v>
      </c>
      <c r="D70" s="26">
        <v>290.75</v>
      </c>
      <c r="E70" s="20" t="s">
        <v>51</v>
      </c>
      <c r="F70" s="20" t="s">
        <v>233</v>
      </c>
    </row>
    <row r="71" spans="1:6" x14ac:dyDescent="0.3">
      <c r="A71" s="20" t="s">
        <v>234</v>
      </c>
      <c r="B71" s="20" t="s">
        <v>235</v>
      </c>
      <c r="C71" s="21">
        <v>46266</v>
      </c>
      <c r="D71" s="26">
        <v>1190</v>
      </c>
      <c r="E71" s="20" t="s">
        <v>55</v>
      </c>
      <c r="F71" s="20" t="s">
        <v>236</v>
      </c>
    </row>
    <row r="72" spans="1:6" x14ac:dyDescent="0.3">
      <c r="A72" s="20" t="s">
        <v>237</v>
      </c>
      <c r="B72" s="20" t="s">
        <v>238</v>
      </c>
      <c r="C72" s="21">
        <v>46271</v>
      </c>
      <c r="D72" s="26">
        <v>745.5</v>
      </c>
      <c r="E72" s="20" t="s">
        <v>19</v>
      </c>
      <c r="F72" s="20" t="s">
        <v>239</v>
      </c>
    </row>
    <row r="73" spans="1:6" x14ac:dyDescent="0.3">
      <c r="A73" s="20" t="s">
        <v>240</v>
      </c>
      <c r="B73" s="20" t="s">
        <v>241</v>
      </c>
      <c r="C73" s="21">
        <v>46275</v>
      </c>
      <c r="D73" s="26">
        <v>2280</v>
      </c>
      <c r="E73" s="20" t="s">
        <v>23</v>
      </c>
      <c r="F73" s="20" t="s">
        <v>242</v>
      </c>
    </row>
    <row r="74" spans="1:6" x14ac:dyDescent="0.3">
      <c r="A74" s="20" t="s">
        <v>243</v>
      </c>
      <c r="B74" s="20" t="s">
        <v>244</v>
      </c>
      <c r="C74" s="21">
        <v>46279</v>
      </c>
      <c r="D74" s="26">
        <v>615.25</v>
      </c>
      <c r="E74" s="20" t="s">
        <v>27</v>
      </c>
      <c r="F74" s="20" t="s">
        <v>245</v>
      </c>
    </row>
    <row r="75" spans="1:6" x14ac:dyDescent="0.3">
      <c r="A75" s="20" t="s">
        <v>246</v>
      </c>
      <c r="B75" s="20" t="s">
        <v>247</v>
      </c>
      <c r="C75" s="21">
        <v>46283</v>
      </c>
      <c r="D75" s="26">
        <v>1410</v>
      </c>
      <c r="E75" s="20" t="s">
        <v>31</v>
      </c>
      <c r="F75" s="20" t="s">
        <v>248</v>
      </c>
    </row>
    <row r="76" spans="1:6" x14ac:dyDescent="0.3">
      <c r="A76" s="20" t="s">
        <v>249</v>
      </c>
      <c r="B76" s="20" t="s">
        <v>250</v>
      </c>
      <c r="C76" s="21">
        <v>46287</v>
      </c>
      <c r="D76" s="26">
        <v>520.5</v>
      </c>
      <c r="E76" s="20" t="s">
        <v>35</v>
      </c>
      <c r="F76" s="20" t="s">
        <v>251</v>
      </c>
    </row>
    <row r="77" spans="1:6" x14ac:dyDescent="0.3">
      <c r="A77" s="20" t="s">
        <v>252</v>
      </c>
      <c r="B77" s="20" t="s">
        <v>253</v>
      </c>
      <c r="C77" s="21">
        <v>46291</v>
      </c>
      <c r="D77" s="26">
        <v>1860.75</v>
      </c>
      <c r="E77" s="20" t="s">
        <v>39</v>
      </c>
      <c r="F77" s="20" t="s">
        <v>254</v>
      </c>
    </row>
    <row r="78" spans="1:6" x14ac:dyDescent="0.3">
      <c r="A78" s="20" t="s">
        <v>255</v>
      </c>
      <c r="B78" s="20" t="s">
        <v>256</v>
      </c>
      <c r="C78" s="21">
        <v>46295</v>
      </c>
      <c r="D78" s="26">
        <v>365</v>
      </c>
      <c r="E78" s="20" t="s">
        <v>43</v>
      </c>
      <c r="F78" s="20" t="s">
        <v>257</v>
      </c>
    </row>
    <row r="79" spans="1:6" x14ac:dyDescent="0.3">
      <c r="A79" s="20" t="s">
        <v>258</v>
      </c>
      <c r="B79" s="20" t="s">
        <v>259</v>
      </c>
      <c r="C79" s="21">
        <v>46298</v>
      </c>
      <c r="D79" s="26">
        <v>1095.25</v>
      </c>
      <c r="E79" s="20" t="s">
        <v>47</v>
      </c>
      <c r="F79" s="20" t="s">
        <v>260</v>
      </c>
    </row>
    <row r="80" spans="1:6" x14ac:dyDescent="0.3">
      <c r="A80" s="20" t="s">
        <v>261</v>
      </c>
      <c r="B80" s="20" t="s">
        <v>262</v>
      </c>
      <c r="C80" s="21">
        <v>46301</v>
      </c>
      <c r="D80" s="26">
        <v>2525</v>
      </c>
      <c r="E80" s="20" t="s">
        <v>51</v>
      </c>
      <c r="F80" s="20" t="s">
        <v>263</v>
      </c>
    </row>
    <row r="81" spans="1:6" x14ac:dyDescent="0.3">
      <c r="A81" s="20" t="s">
        <v>264</v>
      </c>
      <c r="B81" s="20" t="s">
        <v>265</v>
      </c>
      <c r="C81" s="21">
        <v>46304</v>
      </c>
      <c r="D81" s="26">
        <v>680.5</v>
      </c>
      <c r="E81" s="20" t="s">
        <v>55</v>
      </c>
      <c r="F81" s="20" t="s">
        <v>266</v>
      </c>
    </row>
    <row r="82" spans="1:6" x14ac:dyDescent="0.3">
      <c r="A82" s="20" t="s">
        <v>267</v>
      </c>
      <c r="B82" s="20" t="s">
        <v>268</v>
      </c>
      <c r="C82" s="21">
        <v>46307</v>
      </c>
      <c r="D82" s="26">
        <v>1155</v>
      </c>
      <c r="E82" s="20" t="s">
        <v>19</v>
      </c>
      <c r="F82" s="20" t="s">
        <v>269</v>
      </c>
    </row>
    <row r="83" spans="1:6" x14ac:dyDescent="0.3">
      <c r="A83" s="20" t="s">
        <v>270</v>
      </c>
      <c r="B83" s="20" t="s">
        <v>271</v>
      </c>
      <c r="C83" s="21">
        <v>46310</v>
      </c>
      <c r="D83" s="26">
        <v>425.75</v>
      </c>
      <c r="E83" s="20" t="s">
        <v>23</v>
      </c>
      <c r="F83" s="20" t="s">
        <v>272</v>
      </c>
    </row>
    <row r="84" spans="1:6" x14ac:dyDescent="0.3">
      <c r="A84" s="20" t="s">
        <v>273</v>
      </c>
      <c r="B84" s="20" t="s">
        <v>274</v>
      </c>
      <c r="C84" s="21">
        <v>46311</v>
      </c>
      <c r="D84" s="26">
        <v>2690</v>
      </c>
      <c r="E84" s="20" t="s">
        <v>27</v>
      </c>
      <c r="F84" s="20" t="s">
        <v>275</v>
      </c>
    </row>
    <row r="85" spans="1:6" x14ac:dyDescent="0.3">
      <c r="A85" s="20" t="s">
        <v>276</v>
      </c>
      <c r="B85" s="20" t="s">
        <v>277</v>
      </c>
      <c r="C85" s="21">
        <v>46257</v>
      </c>
      <c r="D85" s="26">
        <v>775.5</v>
      </c>
      <c r="E85" s="20" t="s">
        <v>31</v>
      </c>
      <c r="F85" s="20" t="s">
        <v>278</v>
      </c>
    </row>
    <row r="86" spans="1:6" x14ac:dyDescent="0.3">
      <c r="A86" s="20" t="s">
        <v>279</v>
      </c>
      <c r="B86" s="20" t="s">
        <v>280</v>
      </c>
      <c r="C86" s="21">
        <v>46261</v>
      </c>
      <c r="D86" s="26">
        <v>1495</v>
      </c>
      <c r="E86" s="20" t="s">
        <v>35</v>
      </c>
      <c r="F86" s="20" t="s">
        <v>281</v>
      </c>
    </row>
    <row r="87" spans="1:6" x14ac:dyDescent="0.3">
      <c r="A87" s="20" t="s">
        <v>282</v>
      </c>
      <c r="B87" s="20" t="s">
        <v>283</v>
      </c>
      <c r="C87" s="21">
        <v>46266</v>
      </c>
      <c r="D87" s="26">
        <v>585.25</v>
      </c>
      <c r="E87" s="20" t="s">
        <v>39</v>
      </c>
      <c r="F87" s="20" t="s">
        <v>284</v>
      </c>
    </row>
    <row r="88" spans="1:6" x14ac:dyDescent="0.3">
      <c r="A88" s="20" t="s">
        <v>285</v>
      </c>
      <c r="B88" s="20" t="s">
        <v>286</v>
      </c>
      <c r="C88" s="21">
        <v>46270</v>
      </c>
      <c r="D88" s="26">
        <v>965</v>
      </c>
      <c r="E88" s="20" t="s">
        <v>43</v>
      </c>
      <c r="F88" s="20" t="s">
        <v>287</v>
      </c>
    </row>
    <row r="89" spans="1:6" x14ac:dyDescent="0.3">
      <c r="A89" s="20" t="s">
        <v>288</v>
      </c>
      <c r="B89" s="20" t="s">
        <v>289</v>
      </c>
      <c r="C89" s="21">
        <v>46274</v>
      </c>
      <c r="D89" s="26">
        <v>1820.5</v>
      </c>
      <c r="E89" s="20" t="s">
        <v>47</v>
      </c>
      <c r="F89" s="20" t="s">
        <v>290</v>
      </c>
    </row>
    <row r="90" spans="1:6" x14ac:dyDescent="0.3">
      <c r="A90" s="20" t="s">
        <v>291</v>
      </c>
      <c r="B90" s="20" t="s">
        <v>292</v>
      </c>
      <c r="C90" s="21">
        <v>46278</v>
      </c>
      <c r="D90" s="26">
        <v>310</v>
      </c>
      <c r="E90" s="20" t="s">
        <v>51</v>
      </c>
      <c r="F90" s="20" t="s">
        <v>293</v>
      </c>
    </row>
    <row r="91" spans="1:6" x14ac:dyDescent="0.3">
      <c r="A91" s="20" t="s">
        <v>294</v>
      </c>
      <c r="B91" s="20" t="s">
        <v>295</v>
      </c>
      <c r="C91" s="21">
        <v>46282</v>
      </c>
      <c r="D91" s="26">
        <v>1265.75</v>
      </c>
      <c r="E91" s="20" t="s">
        <v>55</v>
      </c>
      <c r="F91" s="20" t="s">
        <v>296</v>
      </c>
    </row>
    <row r="92" spans="1:6" x14ac:dyDescent="0.3">
      <c r="A92" s="20" t="s">
        <v>297</v>
      </c>
      <c r="B92" s="20" t="s">
        <v>298</v>
      </c>
      <c r="C92" s="21">
        <v>46286</v>
      </c>
      <c r="D92" s="26">
        <v>695</v>
      </c>
      <c r="E92" s="20" t="s">
        <v>19</v>
      </c>
      <c r="F92" s="20" t="s">
        <v>299</v>
      </c>
    </row>
    <row r="93" spans="1:6" x14ac:dyDescent="0.3">
      <c r="A93" s="20" t="s">
        <v>300</v>
      </c>
      <c r="B93" s="20" t="s">
        <v>301</v>
      </c>
      <c r="C93" s="21">
        <v>46290</v>
      </c>
      <c r="D93" s="26">
        <v>2190.25</v>
      </c>
      <c r="E93" s="20" t="s">
        <v>23</v>
      </c>
      <c r="F93" s="20" t="s">
        <v>302</v>
      </c>
    </row>
    <row r="94" spans="1:6" x14ac:dyDescent="0.3">
      <c r="A94" s="20" t="s">
        <v>303</v>
      </c>
      <c r="B94" s="20" t="s">
        <v>304</v>
      </c>
      <c r="C94" s="21">
        <v>46294</v>
      </c>
      <c r="D94" s="26">
        <v>830</v>
      </c>
      <c r="E94" s="20" t="s">
        <v>27</v>
      </c>
      <c r="F94" s="20" t="s">
        <v>305</v>
      </c>
    </row>
    <row r="95" spans="1:6" x14ac:dyDescent="0.3">
      <c r="A95" s="20" t="s">
        <v>306</v>
      </c>
      <c r="B95" s="20" t="s">
        <v>307</v>
      </c>
      <c r="C95" s="21">
        <v>46299</v>
      </c>
      <c r="D95" s="26">
        <v>455.5</v>
      </c>
      <c r="E95" s="20" t="s">
        <v>31</v>
      </c>
      <c r="F95" s="20" t="s">
        <v>308</v>
      </c>
    </row>
    <row r="96" spans="1:6" x14ac:dyDescent="0.3">
      <c r="A96" s="20" t="s">
        <v>309</v>
      </c>
      <c r="B96" s="20" t="s">
        <v>310</v>
      </c>
      <c r="C96" s="21">
        <v>46302</v>
      </c>
      <c r="D96" s="26">
        <v>2575</v>
      </c>
      <c r="E96" s="20" t="s">
        <v>35</v>
      </c>
      <c r="F96" s="20" t="s">
        <v>311</v>
      </c>
    </row>
    <row r="97" spans="1:6" x14ac:dyDescent="0.3">
      <c r="A97" s="20" t="s">
        <v>312</v>
      </c>
      <c r="B97" s="20" t="s">
        <v>313</v>
      </c>
      <c r="C97" s="21">
        <v>46267</v>
      </c>
      <c r="D97" s="26">
        <v>725.25</v>
      </c>
      <c r="E97" s="20" t="s">
        <v>39</v>
      </c>
      <c r="F97" s="20" t="s">
        <v>314</v>
      </c>
    </row>
    <row r="98" spans="1:6" x14ac:dyDescent="0.3">
      <c r="A98" s="20" t="s">
        <v>315</v>
      </c>
      <c r="B98" s="20" t="s">
        <v>316</v>
      </c>
      <c r="C98" s="21">
        <v>46302</v>
      </c>
      <c r="D98" s="26">
        <v>1035</v>
      </c>
      <c r="E98" s="20" t="s">
        <v>43</v>
      </c>
      <c r="F98" s="20" t="s">
        <v>317</v>
      </c>
    </row>
    <row r="99" spans="1:6" x14ac:dyDescent="0.3">
      <c r="A99" s="20" t="s">
        <v>318</v>
      </c>
      <c r="B99" s="20" t="s">
        <v>319</v>
      </c>
      <c r="C99" s="21">
        <v>46224</v>
      </c>
      <c r="D99" s="26">
        <v>1695.5</v>
      </c>
      <c r="E99" s="20" t="s">
        <v>47</v>
      </c>
      <c r="F99" s="20" t="s">
        <v>320</v>
      </c>
    </row>
    <row r="100" spans="1:6" x14ac:dyDescent="0.3">
      <c r="A100" s="20" t="s">
        <v>321</v>
      </c>
      <c r="B100" s="20" t="s">
        <v>322</v>
      </c>
      <c r="C100" s="21">
        <v>46325</v>
      </c>
      <c r="D100" s="26">
        <v>335.75</v>
      </c>
      <c r="E100" s="20" t="s">
        <v>51</v>
      </c>
      <c r="F100" s="20" t="s">
        <v>323</v>
      </c>
    </row>
    <row r="101" spans="1:6" x14ac:dyDescent="0.3">
      <c r="A101" s="20" t="s">
        <v>324</v>
      </c>
      <c r="B101" s="20" t="s">
        <v>325</v>
      </c>
      <c r="C101" s="21">
        <v>46253</v>
      </c>
      <c r="D101" s="26">
        <v>1285</v>
      </c>
      <c r="E101" s="20" t="s">
        <v>55</v>
      </c>
      <c r="F101" s="20" t="s">
        <v>326</v>
      </c>
    </row>
    <row r="102" spans="1:6" x14ac:dyDescent="0.3">
      <c r="A102" s="20"/>
      <c r="B102" s="20"/>
      <c r="C102" s="21"/>
      <c r="D102" s="26"/>
      <c r="E102" s="20"/>
      <c r="F102" s="20"/>
    </row>
    <row r="103" spans="1:6" x14ac:dyDescent="0.3">
      <c r="A103" s="20"/>
      <c r="B103" s="20"/>
      <c r="C103" s="21"/>
      <c r="D103" s="26"/>
      <c r="E103" s="20"/>
      <c r="F103" s="20"/>
    </row>
  </sheetData>
  <conditionalFormatting sqref="D102:D103">
    <cfRule type="top10" dxfId="16" priority="1" rank="1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3CE9-5A91-40FA-8486-028DE481935E}">
  <dimension ref="B1:AF407"/>
  <sheetViews>
    <sheetView topLeftCell="G1" zoomScale="55" zoomScaleNormal="55" workbookViewId="0">
      <selection activeCell="J17" sqref="J17"/>
    </sheetView>
  </sheetViews>
  <sheetFormatPr defaultRowHeight="14.4" x14ac:dyDescent="0.3"/>
  <cols>
    <col min="3" max="3" width="7.6640625" bestFit="1" customWidth="1"/>
    <col min="4" max="4" width="16.77734375" bestFit="1" customWidth="1"/>
    <col min="5" max="5" width="16.88671875" bestFit="1" customWidth="1"/>
    <col min="6" max="6" width="16" bestFit="1" customWidth="1"/>
    <col min="7" max="7" width="18.109375" bestFit="1" customWidth="1"/>
    <col min="8" max="8" width="20.33203125" bestFit="1" customWidth="1"/>
    <col min="9" max="9" width="18.109375" bestFit="1" customWidth="1"/>
    <col min="10" max="10" width="24.44140625" bestFit="1" customWidth="1"/>
    <col min="11" max="11" width="17" bestFit="1" customWidth="1"/>
    <col min="12" max="12" width="21.109375" bestFit="1" customWidth="1"/>
    <col min="13" max="13" width="20" customWidth="1"/>
    <col min="14" max="14" width="15.6640625" bestFit="1" customWidth="1"/>
    <col min="15" max="17" width="12" bestFit="1" customWidth="1"/>
  </cols>
  <sheetData>
    <row r="1" spans="2:32" ht="15" thickBot="1" x14ac:dyDescent="0.35"/>
    <row r="2" spans="2:32" ht="14.4" customHeight="1" x14ac:dyDescent="0.3">
      <c r="B2" s="133" t="s">
        <v>329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5"/>
    </row>
    <row r="3" spans="2:32" ht="14.4" customHeight="1" x14ac:dyDescent="0.3"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8"/>
    </row>
    <row r="4" spans="2:32" x14ac:dyDescent="0.3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2:32" x14ac:dyDescent="0.3">
      <c r="B5" s="1"/>
      <c r="C5" s="72" t="s">
        <v>330</v>
      </c>
      <c r="D5" s="72" t="s">
        <v>333</v>
      </c>
      <c r="E5" s="72" t="s">
        <v>13</v>
      </c>
      <c r="F5" s="73" t="s">
        <v>342</v>
      </c>
      <c r="G5" s="74" t="s">
        <v>343</v>
      </c>
      <c r="H5" s="72" t="s">
        <v>336</v>
      </c>
      <c r="I5" s="72" t="s">
        <v>346</v>
      </c>
      <c r="J5" s="72" t="s">
        <v>347</v>
      </c>
      <c r="K5" s="72" t="s">
        <v>350</v>
      </c>
      <c r="L5" s="72" t="s">
        <v>340</v>
      </c>
      <c r="M5" s="72" t="s">
        <v>335</v>
      </c>
      <c r="N5" s="72" t="s">
        <v>344</v>
      </c>
      <c r="O5" s="2"/>
      <c r="P5" s="2"/>
      <c r="Q5" s="3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2:32" x14ac:dyDescent="0.3">
      <c r="B6" s="1"/>
      <c r="C6" s="62">
        <v>1</v>
      </c>
      <c r="D6" s="62" t="str">
        <f>IR!$A$2</f>
        <v>INV-2026-001</v>
      </c>
      <c r="E6" s="62" t="str">
        <f>VLOOKUP(PR!$D6,IR!$A$2:$F$101,2)</f>
        <v>Oliver Bennett</v>
      </c>
      <c r="F6" s="63">
        <f>VLOOKUP(PR!$D6,IR!$A$2:$F$101,3)</f>
        <v>46311</v>
      </c>
      <c r="G6" s="68">
        <f>VLOOKUP(PR!$D6,IR!$A$2:$F$101,4)</f>
        <v>450</v>
      </c>
      <c r="H6" s="63" t="str">
        <f>VLOOKUP(PR!$D6,IR!$A$2:$F$101,5)</f>
        <v>Office supplies</v>
      </c>
      <c r="I6" s="63" t="str">
        <f>VLOOKUP(PR!$D6,IR!$A$2:$F$101,6)</f>
        <v>PAY-7001</v>
      </c>
      <c r="J6" s="64"/>
      <c r="K6" s="32">
        <f>WORKDAY(Table3[[#This Row],[Date of invoice]],2)</f>
        <v>46315</v>
      </c>
      <c r="L6" s="64">
        <f>IF(PR!$J6=0,PR!$G6*50%,PR!$J6)</f>
        <v>225</v>
      </c>
      <c r="M6" s="65">
        <f t="shared" ref="M6:M37" si="0">IF(L6=G6,"Paid All",G6-L6)</f>
        <v>225</v>
      </c>
      <c r="N6" s="65">
        <f ca="1">ARD!L12</f>
        <v>225</v>
      </c>
      <c r="O6" s="2"/>
      <c r="P6" s="2"/>
      <c r="Q6" s="3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2:32" x14ac:dyDescent="0.3">
      <c r="B7" s="1"/>
      <c r="C7" s="66">
        <f t="shared" ref="C7:C38" si="1">C6+1</f>
        <v>2</v>
      </c>
      <c r="D7" s="66" t="str">
        <f>IR!A3</f>
        <v>INV-2026-002</v>
      </c>
      <c r="E7" s="66" t="str">
        <f>VLOOKUP(PR!$D7,IR!$A$2:$F$101,2)</f>
        <v>Amelia Carter</v>
      </c>
      <c r="F7" s="67">
        <f>VLOOKUP(PR!$D7,IR!$A$2:$F$101,3)</f>
        <v>46254</v>
      </c>
      <c r="G7" s="68">
        <f>VLOOKUP(PR!$D7,IR!$A$2:$F$101,4)</f>
        <v>1250.5</v>
      </c>
      <c r="H7" s="68" t="str">
        <f>VLOOKUP(PR!$D7,IR!$A$2:$F$101,5)</f>
        <v>Consulting services</v>
      </c>
      <c r="I7" s="67" t="str">
        <f>VLOOKUP(PR!$D7,IR!$A$2:$F$101,6)</f>
        <v>PAY-7002</v>
      </c>
      <c r="J7" s="68"/>
      <c r="K7" s="67">
        <f>WORKDAY(Table3[[#This Row],[Date of invoice]],2)</f>
        <v>46258</v>
      </c>
      <c r="L7" s="68">
        <f>IF(PR!$J7=0,PR!$G7*50%,PR!$J7)</f>
        <v>625.25</v>
      </c>
      <c r="M7" s="69">
        <f t="shared" si="0"/>
        <v>625.25</v>
      </c>
      <c r="N7" s="69">
        <f ca="1">ARD!L13</f>
        <v>731.54250000000002</v>
      </c>
      <c r="O7" s="2"/>
      <c r="P7" s="2"/>
      <c r="Q7" s="3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2:32" x14ac:dyDescent="0.3">
      <c r="B8" s="1"/>
      <c r="C8" s="62">
        <f t="shared" si="1"/>
        <v>3</v>
      </c>
      <c r="D8" s="62" t="str">
        <f>IR!A4</f>
        <v>INV-2026-003</v>
      </c>
      <c r="E8" s="62" t="str">
        <f>VLOOKUP(PR!$D8,IR!$A$2:$F$101,2)</f>
        <v>George Mitchell</v>
      </c>
      <c r="F8" s="63">
        <f>VLOOKUP(PR!$D8,IR!$A$2:$F$101,3)</f>
        <v>46259</v>
      </c>
      <c r="G8" s="64">
        <f>VLOOKUP(PR!$D8,IR!$A$2:$F$101,4)</f>
        <v>785.25</v>
      </c>
      <c r="H8" s="64" t="str">
        <f>VLOOKUP(PR!$D8,IR!$A$2:$F$101,5)</f>
        <v>Equipment purchase</v>
      </c>
      <c r="I8" s="63" t="str">
        <f>VLOOKUP(PR!$D8,IR!$A$2:$F$101,6)</f>
        <v>PAY-7003</v>
      </c>
      <c r="J8" s="64">
        <v>785.25</v>
      </c>
      <c r="K8" s="63">
        <f>WORKDAY(Table3[[#This Row],[Date of invoice]],2)</f>
        <v>46261</v>
      </c>
      <c r="L8" s="64">
        <f>IF(PR!$J8=0,PR!$G8*50%,PR!$J8)</f>
        <v>785.25</v>
      </c>
      <c r="M8" s="65" t="str">
        <f t="shared" si="0"/>
        <v>Paid All</v>
      </c>
      <c r="N8" s="65">
        <f ca="1">ARD!L14</f>
        <v>785.25</v>
      </c>
      <c r="O8" s="2"/>
      <c r="P8" s="2"/>
      <c r="Q8" s="3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2:32" x14ac:dyDescent="0.3">
      <c r="B9" s="1"/>
      <c r="C9" s="66">
        <f t="shared" si="1"/>
        <v>4</v>
      </c>
      <c r="D9" s="66" t="str">
        <f>IR!A5</f>
        <v>INV-2026-004</v>
      </c>
      <c r="E9" s="66" t="str">
        <f>VLOOKUP(PR!$D9,IR!$A$2:$F$101,2)</f>
        <v>Isla Thompson</v>
      </c>
      <c r="F9" s="67">
        <f>VLOOKUP(PR!$D9,IR!$A$2:$F$101,3)</f>
        <v>46267</v>
      </c>
      <c r="G9" s="68">
        <f>VLOOKUP(PR!$D9,IR!$A$2:$F$101,4)</f>
        <v>320</v>
      </c>
      <c r="H9" s="68" t="str">
        <f>VLOOKUP(PR!$D9,IR!$A$2:$F$101,5)</f>
        <v>Monthly subscription</v>
      </c>
      <c r="I9" s="67" t="str">
        <f>VLOOKUP(PR!$D9,IR!$A$2:$F$101,6)</f>
        <v>PAY-7004</v>
      </c>
      <c r="J9" s="68"/>
      <c r="K9" s="67">
        <f>WORKDAY(Table3[[#This Row],[Date of invoice]],2)</f>
        <v>46269</v>
      </c>
      <c r="L9" s="68">
        <f>IF(PR!$J9=0,PR!$G9*50%,PR!$J9)</f>
        <v>160</v>
      </c>
      <c r="M9" s="69">
        <f t="shared" si="0"/>
        <v>160</v>
      </c>
      <c r="N9" s="69">
        <f ca="1">ARD!L15</f>
        <v>172.8</v>
      </c>
      <c r="O9" s="2"/>
      <c r="P9" s="2"/>
      <c r="Q9" s="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2:32" x14ac:dyDescent="0.3">
      <c r="B10" s="1"/>
      <c r="C10" s="62">
        <f t="shared" si="1"/>
        <v>5</v>
      </c>
      <c r="D10" s="62" t="str">
        <f>IR!A6</f>
        <v>INV-2026-005</v>
      </c>
      <c r="E10" s="62" t="str">
        <f>VLOOKUP(PR!$D10,IR!$A$2:$F$101,2)</f>
        <v>Harry Wilson</v>
      </c>
      <c r="F10" s="63">
        <f>VLOOKUP(PR!$D10,IR!$A$2:$F$101,3)</f>
        <v>46270</v>
      </c>
      <c r="G10" s="64">
        <f>VLOOKUP(PR!$D10,IR!$A$2:$F$101,4)</f>
        <v>2100</v>
      </c>
      <c r="H10" s="64" t="str">
        <f>VLOOKUP(PR!$D10,IR!$A$2:$F$101,5)</f>
        <v>Project delivery</v>
      </c>
      <c r="I10" s="63" t="str">
        <f>VLOOKUP(PR!$D10,IR!$A$2:$F$101,6)</f>
        <v>PAY-7005</v>
      </c>
      <c r="J10" s="64"/>
      <c r="K10" s="63">
        <f>WORKDAY(Table3[[#This Row],[Date of invoice]],2)</f>
        <v>46273</v>
      </c>
      <c r="L10" s="64">
        <f>IF(PR!$J10=0,PR!$G10*50%,PR!$J10)</f>
        <v>1050</v>
      </c>
      <c r="M10" s="65">
        <f t="shared" si="0"/>
        <v>1050</v>
      </c>
      <c r="N10" s="65">
        <f ca="1">ARD!L16</f>
        <v>1134</v>
      </c>
      <c r="O10" s="2"/>
      <c r="P10" s="2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2:32" x14ac:dyDescent="0.3">
      <c r="B11" s="1"/>
      <c r="C11" s="66">
        <f t="shared" si="1"/>
        <v>6</v>
      </c>
      <c r="D11" s="66" t="str">
        <f>IR!A7</f>
        <v>INV-2026-006</v>
      </c>
      <c r="E11" s="66" t="str">
        <f>VLOOKUP(PR!$D11,IR!$A$2:$F$101,2)</f>
        <v>Ava Robinson</v>
      </c>
      <c r="F11" s="67">
        <f>VLOOKUP(PR!$D11,IR!$A$2:$F$101,3)</f>
        <v>46275</v>
      </c>
      <c r="G11" s="68">
        <f>VLOOKUP(PR!$D11,IR!$A$2:$F$101,4)</f>
        <v>675.8</v>
      </c>
      <c r="H11" s="68" t="str">
        <f>VLOOKUP(PR!$D11,IR!$A$2:$F$101,5)</f>
        <v>Marketing services</v>
      </c>
      <c r="I11" s="67" t="str">
        <f>VLOOKUP(PR!$D11,IR!$A$2:$F$101,6)</f>
        <v>PAY-7006</v>
      </c>
      <c r="J11" s="68"/>
      <c r="K11" s="67">
        <f>WORKDAY(Table3[[#This Row],[Date of invoice]],2)</f>
        <v>46279</v>
      </c>
      <c r="L11" s="68">
        <f>IF(PR!$J11=0,PR!$G11*50%,PR!$J11)</f>
        <v>337.9</v>
      </c>
      <c r="M11" s="69">
        <f t="shared" si="0"/>
        <v>337.9</v>
      </c>
      <c r="N11" s="69">
        <f ca="1">ARD!L17</f>
        <v>354.79499999999996</v>
      </c>
      <c r="O11" s="2"/>
      <c r="P11" s="2"/>
      <c r="Q11" s="3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2:32" x14ac:dyDescent="0.3">
      <c r="B12" s="1"/>
      <c r="C12" s="62">
        <f t="shared" si="1"/>
        <v>7</v>
      </c>
      <c r="D12" s="62" t="str">
        <f>IR!A8</f>
        <v>INV-2026-007</v>
      </c>
      <c r="E12" s="62" t="str">
        <f>VLOOKUP(PR!$D12,IR!$A$2:$F$101,2)</f>
        <v>Noah Walker</v>
      </c>
      <c r="F12" s="63">
        <f>VLOOKUP(PR!$D12,IR!$A$2:$F$101,3)</f>
        <v>46277</v>
      </c>
      <c r="G12" s="64">
        <f>VLOOKUP(PR!$D12,IR!$A$2:$F$101,4)</f>
        <v>540</v>
      </c>
      <c r="H12" s="64" t="str">
        <f>VLOOKUP(PR!$D12,IR!$A$2:$F$101,5)</f>
        <v>Maintenance services</v>
      </c>
      <c r="I12" s="63" t="str">
        <f>VLOOKUP(PR!$D12,IR!$A$2:$F$101,6)</f>
        <v>PAY-7007</v>
      </c>
      <c r="J12" s="64">
        <v>540</v>
      </c>
      <c r="K12" s="63">
        <f>WORKDAY(Table3[[#This Row],[Date of invoice]],2)</f>
        <v>46280</v>
      </c>
      <c r="L12" s="64">
        <f>IF(PR!$J12=0,PR!$G12*50%,PR!$J12)</f>
        <v>540</v>
      </c>
      <c r="M12" s="65" t="str">
        <f t="shared" si="0"/>
        <v>Paid All</v>
      </c>
      <c r="N12" s="65">
        <f ca="1">ARD!L18</f>
        <v>540</v>
      </c>
      <c r="O12" s="2"/>
      <c r="P12" s="2"/>
      <c r="Q12" s="3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2:32" x14ac:dyDescent="0.3">
      <c r="B13" s="1"/>
      <c r="C13" s="66">
        <f t="shared" si="1"/>
        <v>8</v>
      </c>
      <c r="D13" s="66" t="str">
        <f>IR!A9</f>
        <v>INV-2026-008</v>
      </c>
      <c r="E13" s="66" t="str">
        <f>VLOOKUP(PR!$D13,IR!$A$2:$F$101,2)</f>
        <v>Grace Hall</v>
      </c>
      <c r="F13" s="67">
        <f>VLOOKUP(PR!$D13,IR!$A$2:$F$101,3)</f>
        <v>46280</v>
      </c>
      <c r="G13" s="68">
        <f>VLOOKUP(PR!$D13,IR!$A$2:$F$101,4)</f>
        <v>1890.75</v>
      </c>
      <c r="H13" s="68" t="str">
        <f>VLOOKUP(PR!$D13,IR!$A$2:$F$101,5)</f>
        <v>Software licence</v>
      </c>
      <c r="I13" s="67" t="str">
        <f>VLOOKUP(PR!$D13,IR!$A$2:$F$101,6)</f>
        <v>PAY-7008</v>
      </c>
      <c r="J13" s="68"/>
      <c r="K13" s="67">
        <f>WORKDAY(Table3[[#This Row],[Date of invoice]],2)</f>
        <v>46282</v>
      </c>
      <c r="L13" s="68">
        <f>IF(PR!$J13=0,PR!$G13*50%,PR!$J13)</f>
        <v>945.375</v>
      </c>
      <c r="M13" s="69">
        <f t="shared" si="0"/>
        <v>945.375</v>
      </c>
      <c r="N13" s="69">
        <f ca="1">ARD!L19</f>
        <v>964.28250000000003</v>
      </c>
      <c r="O13" s="2"/>
      <c r="P13" s="2"/>
      <c r="Q13" s="3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2:32" x14ac:dyDescent="0.3">
      <c r="B14" s="1"/>
      <c r="C14" s="62">
        <f t="shared" si="1"/>
        <v>9</v>
      </c>
      <c r="D14" s="62" t="str">
        <f>IR!A10</f>
        <v>INV-2026-009</v>
      </c>
      <c r="E14" s="62" t="str">
        <f>VLOOKUP(PR!$D14,IR!$A$2:$F$101,2)</f>
        <v>Jack Young</v>
      </c>
      <c r="F14" s="63">
        <f>VLOOKUP(PR!$D14,IR!$A$2:$F$101,3)</f>
        <v>46283</v>
      </c>
      <c r="G14" s="64">
        <f>VLOOKUP(PR!$D14,IR!$A$2:$F$101,4)</f>
        <v>265.5</v>
      </c>
      <c r="H14" s="64" t="str">
        <f>VLOOKUP(PR!$D14,IR!$A$2:$F$101,5)</f>
        <v>Stationery order</v>
      </c>
      <c r="I14" s="63" t="str">
        <f>VLOOKUP(PR!$D14,IR!$A$2:$F$101,6)</f>
        <v>PAY-7009</v>
      </c>
      <c r="J14" s="64">
        <v>265.5</v>
      </c>
      <c r="K14" s="63">
        <f>WORKDAY(Table3[[#This Row],[Date of invoice]],2)</f>
        <v>46287</v>
      </c>
      <c r="L14" s="64">
        <f>IF(PR!$J14=0,PR!$G14*50%,PR!$J14)</f>
        <v>265.5</v>
      </c>
      <c r="M14" s="65" t="str">
        <f t="shared" si="0"/>
        <v>Paid All</v>
      </c>
      <c r="N14" s="65">
        <f ca="1">ARD!L20</f>
        <v>265.5</v>
      </c>
      <c r="O14" s="2"/>
      <c r="P14" s="2"/>
      <c r="Q14" s="3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2:32" x14ac:dyDescent="0.3">
      <c r="B15" s="1"/>
      <c r="C15" s="66">
        <f t="shared" si="1"/>
        <v>10</v>
      </c>
      <c r="D15" s="66" t="str">
        <f>IR!A11</f>
        <v>INV-2026-010</v>
      </c>
      <c r="E15" s="66" t="str">
        <f>VLOOKUP(PR!$D15,IR!$A$2:$F$101,2)</f>
        <v>Lily Allen</v>
      </c>
      <c r="F15" s="67">
        <f>VLOOKUP(PR!$D15,IR!$A$2:$F$101,3)</f>
        <v>46285</v>
      </c>
      <c r="G15" s="68">
        <f>VLOOKUP(PR!$D15,IR!$A$2:$F$101,4)</f>
        <v>980</v>
      </c>
      <c r="H15" s="68" t="str">
        <f>VLOOKUP(PR!$D15,IR!$A$2:$F$101,5)</f>
        <v>Training services</v>
      </c>
      <c r="I15" s="67" t="str">
        <f>VLOOKUP(PR!$D15,IR!$A$2:$F$101,6)</f>
        <v>PAY-7010</v>
      </c>
      <c r="J15" s="68"/>
      <c r="K15" s="67">
        <f>WORKDAY(Table3[[#This Row],[Date of invoice]],2)</f>
        <v>46287</v>
      </c>
      <c r="L15" s="68">
        <f>IF(PR!$J15=0,PR!$G15*50%,PR!$J15)</f>
        <v>490</v>
      </c>
      <c r="M15" s="69">
        <f t="shared" si="0"/>
        <v>490</v>
      </c>
      <c r="N15" s="69">
        <f ca="1">ARD!L21</f>
        <v>490</v>
      </c>
      <c r="O15" s="2"/>
      <c r="P15" s="2"/>
      <c r="Q15" s="3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2:32" x14ac:dyDescent="0.3">
      <c r="B16" s="1"/>
      <c r="C16" s="62">
        <f t="shared" si="1"/>
        <v>11</v>
      </c>
      <c r="D16" s="62" t="str">
        <f>IR!A12</f>
        <v>INV-2026-011</v>
      </c>
      <c r="E16" s="62" t="str">
        <f>VLOOKUP(PR!$D16,IR!$A$2:$F$101,2)</f>
        <v>Charlie King</v>
      </c>
      <c r="F16" s="63">
        <f>VLOOKUP(PR!$D16,IR!$A$2:$F$101,3)</f>
        <v>46287</v>
      </c>
      <c r="G16" s="64">
        <f>VLOOKUP(PR!$D16,IR!$A$2:$F$101,4)</f>
        <v>1450</v>
      </c>
      <c r="H16" s="64" t="str">
        <f>VLOOKUP(PR!$D16,IR!$A$2:$F$101,5)</f>
        <v>Consulting services</v>
      </c>
      <c r="I16" s="63" t="str">
        <f>VLOOKUP(PR!$D16,IR!$A$2:$F$101,6)</f>
        <v>PAY-7011</v>
      </c>
      <c r="J16" s="64"/>
      <c r="K16" s="63">
        <f>WORKDAY(Table3[[#This Row],[Date of invoice]],2)</f>
        <v>46289</v>
      </c>
      <c r="L16" s="64">
        <f>IF(PR!$J16=0,PR!$G16*50%,PR!$J16)</f>
        <v>725</v>
      </c>
      <c r="M16" s="65">
        <f t="shared" si="0"/>
        <v>725</v>
      </c>
      <c r="N16" s="65">
        <f ca="1">ARD!L22</f>
        <v>725</v>
      </c>
      <c r="O16" s="2"/>
      <c r="P16" s="2"/>
      <c r="Q16" s="3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:32" x14ac:dyDescent="0.3">
      <c r="B17" s="1"/>
      <c r="C17" s="66">
        <f t="shared" si="1"/>
        <v>12</v>
      </c>
      <c r="D17" s="66" t="str">
        <f>IR!A13</f>
        <v>INV-2026-012</v>
      </c>
      <c r="E17" s="66" t="str">
        <f>VLOOKUP(PR!$D17,IR!$A$2:$F$101,2)</f>
        <v>Mia Wright</v>
      </c>
      <c r="F17" s="67">
        <f>VLOOKUP(PR!$D17,IR!$A$2:$F$101,3)</f>
        <v>46290</v>
      </c>
      <c r="G17" s="68">
        <f>VLOOKUP(PR!$D17,IR!$A$2:$F$101,4)</f>
        <v>375.25</v>
      </c>
      <c r="H17" s="68" t="str">
        <f>VLOOKUP(PR!$D17,IR!$A$2:$F$101,5)</f>
        <v>Office supplies</v>
      </c>
      <c r="I17" s="67" t="str">
        <f>VLOOKUP(PR!$D17,IR!$A$2:$F$101,6)</f>
        <v>PAY-7012</v>
      </c>
      <c r="J17" s="68"/>
      <c r="K17" s="67">
        <f>WORKDAY(Table3[[#This Row],[Date of invoice]],2)</f>
        <v>46294</v>
      </c>
      <c r="L17" s="68">
        <f>IF(PR!$J17=0,PR!$G17*50%,PR!$J17)</f>
        <v>187.625</v>
      </c>
      <c r="M17" s="69">
        <f t="shared" si="0"/>
        <v>187.625</v>
      </c>
      <c r="N17" s="69">
        <f ca="1">ARD!L23</f>
        <v>187.625</v>
      </c>
      <c r="O17" s="2"/>
      <c r="P17" s="2"/>
      <c r="Q17" s="3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2:32" x14ac:dyDescent="0.3">
      <c r="B18" s="1"/>
      <c r="C18" s="62">
        <f t="shared" si="1"/>
        <v>13</v>
      </c>
      <c r="D18" s="62" t="str">
        <f>IR!A14</f>
        <v>INV-2026-013</v>
      </c>
      <c r="E18" s="62" t="str">
        <f>VLOOKUP(PR!$D18,IR!$A$2:$F$101,2)</f>
        <v>Thomas Scott</v>
      </c>
      <c r="F18" s="63">
        <f>VLOOKUP(PR!$D18,IR!$A$2:$F$101,3)</f>
        <v>46293</v>
      </c>
      <c r="G18" s="64">
        <f>VLOOKUP(PR!$D18,IR!$A$2:$F$101,4)</f>
        <v>2750</v>
      </c>
      <c r="H18" s="64" t="str">
        <f>VLOOKUP(PR!$D18,IR!$A$2:$F$101,5)</f>
        <v>Equipment purchase</v>
      </c>
      <c r="I18" s="63" t="str">
        <f>VLOOKUP(PR!$D18,IR!$A$2:$F$101,6)</f>
        <v>PAY-7013</v>
      </c>
      <c r="J18" s="64"/>
      <c r="K18" s="63">
        <f>WORKDAY(Table3[[#This Row],[Date of invoice]],2)</f>
        <v>46295</v>
      </c>
      <c r="L18" s="64">
        <f>IF(PR!$J18=0,PR!$G18*50%,PR!$J18)</f>
        <v>1375</v>
      </c>
      <c r="M18" s="65">
        <f t="shared" si="0"/>
        <v>1375</v>
      </c>
      <c r="N18" s="65">
        <f ca="1">ARD!L24</f>
        <v>1375</v>
      </c>
      <c r="O18" s="2"/>
      <c r="P18" s="2"/>
      <c r="Q18" s="3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:32" x14ac:dyDescent="0.3">
      <c r="B19" s="1"/>
      <c r="C19" s="66">
        <f t="shared" si="1"/>
        <v>14</v>
      </c>
      <c r="D19" s="66" t="str">
        <f>IR!A15</f>
        <v>INV-2026-014</v>
      </c>
      <c r="E19" s="66" t="str">
        <f>VLOOKUP(PR!$D19,IR!$A$2:$F$101,2)</f>
        <v>Sophia Green</v>
      </c>
      <c r="F19" s="67">
        <f>VLOOKUP(PR!$D19,IR!$A$2:$F$101,3)</f>
        <v>46295</v>
      </c>
      <c r="G19" s="68">
        <f>VLOOKUP(PR!$D19,IR!$A$2:$F$101,4)</f>
        <v>625</v>
      </c>
      <c r="H19" s="68" t="str">
        <f>VLOOKUP(PR!$D19,IR!$A$2:$F$101,5)</f>
        <v>Monthly subscription</v>
      </c>
      <c r="I19" s="67" t="str">
        <f>VLOOKUP(PR!$D19,IR!$A$2:$F$101,6)</f>
        <v>PAY-7014</v>
      </c>
      <c r="J19" s="68">
        <v>675</v>
      </c>
      <c r="K19" s="67">
        <f>WORKDAY(Table3[[#This Row],[Date of invoice]],2)</f>
        <v>46297</v>
      </c>
      <c r="L19" s="68">
        <f>IF(PR!$J19=0,PR!$G19*50%,PR!$J19)</f>
        <v>675</v>
      </c>
      <c r="M19" s="69">
        <f t="shared" si="0"/>
        <v>-50</v>
      </c>
      <c r="N19" s="69">
        <f>ARD!L25</f>
        <v>675</v>
      </c>
      <c r="O19" s="2"/>
      <c r="P19" s="2"/>
      <c r="Q19" s="3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2:32" x14ac:dyDescent="0.3">
      <c r="B20" s="1"/>
      <c r="C20" s="62">
        <f t="shared" si="1"/>
        <v>15</v>
      </c>
      <c r="D20" s="62" t="str">
        <f>IR!A16</f>
        <v>INV-2026-015</v>
      </c>
      <c r="E20" s="62" t="str">
        <f>VLOOKUP(PR!$D20,IR!$A$2:$F$101,2)</f>
        <v>Oscar Baker</v>
      </c>
      <c r="F20" s="63">
        <f>VLOOKUP(PR!$D20,IR!$A$2:$F$101,3)</f>
        <v>46175</v>
      </c>
      <c r="G20" s="64">
        <f>VLOOKUP(PR!$D20,IR!$A$2:$F$101,4)</f>
        <v>1120.8</v>
      </c>
      <c r="H20" s="64" t="str">
        <f>VLOOKUP(PR!$D20,IR!$A$2:$F$101,5)</f>
        <v>Project delivery</v>
      </c>
      <c r="I20" s="63" t="str">
        <f>VLOOKUP(PR!$D20,IR!$A$2:$F$101,6)</f>
        <v>PAY-7015</v>
      </c>
      <c r="J20" s="64"/>
      <c r="K20" s="63">
        <f>WORKDAY(Table3[[#This Row],[Date of invoice]],2)</f>
        <v>46177</v>
      </c>
      <c r="L20" s="64">
        <f>IF(PR!$J20=0,PR!$G20*50%,PR!$J20)</f>
        <v>560.4</v>
      </c>
      <c r="M20" s="65">
        <f t="shared" si="0"/>
        <v>560.4</v>
      </c>
      <c r="N20" s="65">
        <f ca="1">ARD!L26</f>
        <v>773.35200000000009</v>
      </c>
      <c r="O20" s="2"/>
      <c r="P20" s="2"/>
      <c r="Q20" s="3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:32" x14ac:dyDescent="0.3">
      <c r="B21" s="1"/>
      <c r="C21" s="66">
        <f t="shared" si="1"/>
        <v>16</v>
      </c>
      <c r="D21" s="66" t="str">
        <f>IR!A17</f>
        <v>INV-2026-016</v>
      </c>
      <c r="E21" s="66" t="str">
        <f>VLOOKUP(PR!$D21,IR!$A$2:$F$101,2)</f>
        <v>Emily Adams</v>
      </c>
      <c r="F21" s="67">
        <f>VLOOKUP(PR!$D21,IR!$A$2:$F$101,3)</f>
        <v>46299</v>
      </c>
      <c r="G21" s="68">
        <f>VLOOKUP(PR!$D21,IR!$A$2:$F$101,4)</f>
        <v>890</v>
      </c>
      <c r="H21" s="68" t="str">
        <f>VLOOKUP(PR!$D21,IR!$A$2:$F$101,5)</f>
        <v>Marketing services</v>
      </c>
      <c r="I21" s="67" t="str">
        <f>VLOOKUP(PR!$D21,IR!$A$2:$F$101,6)</f>
        <v>PAY-7016</v>
      </c>
      <c r="J21" s="68"/>
      <c r="K21" s="67">
        <f>WORKDAY(Table3[[#This Row],[Date of invoice]],2)</f>
        <v>46301</v>
      </c>
      <c r="L21" s="68">
        <f>IF(PR!$J21=0,PR!$G21*50%,PR!$J21)</f>
        <v>445</v>
      </c>
      <c r="M21" s="69">
        <f t="shared" si="0"/>
        <v>445</v>
      </c>
      <c r="N21" s="69">
        <f ca="1">ARD!L27</f>
        <v>445</v>
      </c>
      <c r="O21" s="2"/>
      <c r="P21" s="2"/>
      <c r="Q21" s="3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:32" x14ac:dyDescent="0.3">
      <c r="B22" s="1"/>
      <c r="C22" s="62">
        <f t="shared" si="1"/>
        <v>17</v>
      </c>
      <c r="D22" s="62" t="str">
        <f>IR!A18</f>
        <v>INV-2026-017</v>
      </c>
      <c r="E22" s="62" t="str">
        <f>VLOOKUP(PR!$D22,IR!$A$2:$F$101,2)</f>
        <v>William Nelson</v>
      </c>
      <c r="F22" s="63">
        <f>VLOOKUP(PR!$D22,IR!$A$2:$F$101,3)</f>
        <v>46301</v>
      </c>
      <c r="G22" s="64">
        <f>VLOOKUP(PR!$D22,IR!$A$2:$F$101,4)</f>
        <v>410.5</v>
      </c>
      <c r="H22" s="64" t="str">
        <f>VLOOKUP(PR!$D22,IR!$A$2:$F$101,5)</f>
        <v>Maintenance services</v>
      </c>
      <c r="I22" s="63" t="str">
        <f>VLOOKUP(PR!$D22,IR!$A$2:$F$101,6)</f>
        <v>PAY-7017</v>
      </c>
      <c r="J22" s="64"/>
      <c r="K22" s="63">
        <f>WORKDAY(Table3[[#This Row],[Date of invoice]],2)</f>
        <v>46303</v>
      </c>
      <c r="L22" s="64">
        <f>IF(PR!$J22=0,PR!$G22*50%,PR!$J22)</f>
        <v>205.25</v>
      </c>
      <c r="M22" s="65">
        <f t="shared" si="0"/>
        <v>205.25</v>
      </c>
      <c r="N22" s="65">
        <f ca="1">ARD!L28</f>
        <v>205.25</v>
      </c>
      <c r="O22" s="2"/>
      <c r="P22" s="2"/>
      <c r="Q22" s="3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2:32" x14ac:dyDescent="0.3">
      <c r="B23" s="1"/>
      <c r="C23" s="66">
        <f t="shared" si="1"/>
        <v>18</v>
      </c>
      <c r="D23" s="66" t="str">
        <f>IR!A19</f>
        <v>INV-2026-018</v>
      </c>
      <c r="E23" s="66" t="str">
        <f>VLOOKUP(PR!$D23,IR!$A$2:$F$101,2)</f>
        <v>Ella Hill</v>
      </c>
      <c r="F23" s="67">
        <f>VLOOKUP(PR!$D23,IR!$A$2:$F$101,3)</f>
        <v>46303</v>
      </c>
      <c r="G23" s="68">
        <f>VLOOKUP(PR!$D23,IR!$A$2:$F$101,4)</f>
        <v>1675</v>
      </c>
      <c r="H23" s="68" t="str">
        <f>VLOOKUP(PR!$D23,IR!$A$2:$F$101,5)</f>
        <v>Software licence</v>
      </c>
      <c r="I23" s="67" t="str">
        <f>VLOOKUP(PR!$D23,IR!$A$2:$F$101,6)</f>
        <v>PAY-7018</v>
      </c>
      <c r="J23" s="68">
        <v>1675</v>
      </c>
      <c r="K23" s="67">
        <f>WORKDAY(Table3[[#This Row],[Date of invoice]],2)</f>
        <v>46307</v>
      </c>
      <c r="L23" s="68">
        <f>IF(PR!$J23=0,PR!$G23*50%,PR!$J23)</f>
        <v>1675</v>
      </c>
      <c r="M23" s="69" t="str">
        <f t="shared" si="0"/>
        <v>Paid All</v>
      </c>
      <c r="N23" s="69">
        <f ca="1">ARD!L29</f>
        <v>1675</v>
      </c>
      <c r="O23" s="2"/>
      <c r="P23" s="2"/>
      <c r="Q23" s="3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2:32" x14ac:dyDescent="0.3">
      <c r="B24" s="1"/>
      <c r="C24" s="62">
        <f t="shared" si="1"/>
        <v>19</v>
      </c>
      <c r="D24" s="62" t="str">
        <f>IR!A20</f>
        <v>INV-2026-019</v>
      </c>
      <c r="E24" s="62" t="str">
        <f>VLOOKUP(PR!$D24,IR!$A$2:$F$101,2)</f>
        <v>James Lewis</v>
      </c>
      <c r="F24" s="63">
        <f>VLOOKUP(PR!$D24,IR!$A$2:$F$101,3)</f>
        <v>46305</v>
      </c>
      <c r="G24" s="64">
        <f>VLOOKUP(PR!$D24,IR!$A$2:$F$101,4)</f>
        <v>295</v>
      </c>
      <c r="H24" s="64" t="str">
        <f>VLOOKUP(PR!$D24,IR!$A$2:$F$101,5)</f>
        <v>Stationery order</v>
      </c>
      <c r="I24" s="63" t="str">
        <f>VLOOKUP(PR!$D24,IR!$A$2:$F$101,6)</f>
        <v>PAY-7019</v>
      </c>
      <c r="J24" s="64"/>
      <c r="K24" s="63">
        <f>WORKDAY(Table3[[#This Row],[Date of invoice]],2)</f>
        <v>46308</v>
      </c>
      <c r="L24" s="64">
        <f>IF(PR!$J24=0,PR!$G24*50%,PR!$J24)</f>
        <v>147.5</v>
      </c>
      <c r="M24" s="65">
        <f t="shared" si="0"/>
        <v>147.5</v>
      </c>
      <c r="N24" s="65">
        <f ca="1">ARD!L30</f>
        <v>147.5</v>
      </c>
      <c r="O24" s="2"/>
      <c r="P24" s="2"/>
      <c r="Q24" s="3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2" x14ac:dyDescent="0.3">
      <c r="B25" s="1"/>
      <c r="C25" s="66">
        <f t="shared" si="1"/>
        <v>20</v>
      </c>
      <c r="D25" s="66" t="str">
        <f>IR!A21</f>
        <v>INV-2026-020</v>
      </c>
      <c r="E25" s="66" t="str">
        <f>VLOOKUP(PR!$D25,IR!$A$2:$F$101,2)</f>
        <v>Freya Clark</v>
      </c>
      <c r="F25" s="67">
        <f>VLOOKUP(PR!$D25,IR!$A$2:$F$101,3)</f>
        <v>46307</v>
      </c>
      <c r="G25" s="68">
        <f>VLOOKUP(PR!$D25,IR!$A$2:$F$101,4)</f>
        <v>1350.25</v>
      </c>
      <c r="H25" s="68" t="str">
        <f>VLOOKUP(PR!$D25,IR!$A$2:$F$101,5)</f>
        <v>Training services</v>
      </c>
      <c r="I25" s="67" t="str">
        <f>VLOOKUP(PR!$D25,IR!$A$2:$F$101,6)</f>
        <v>PAY-7020</v>
      </c>
      <c r="J25" s="68"/>
      <c r="K25" s="67">
        <f>WORKDAY(Table3[[#This Row],[Date of invoice]],2)</f>
        <v>46309</v>
      </c>
      <c r="L25" s="68">
        <f>IF(PR!$J25=0,PR!$G25*50%,PR!$J25)</f>
        <v>675.125</v>
      </c>
      <c r="M25" s="69">
        <f t="shared" si="0"/>
        <v>675.125</v>
      </c>
      <c r="N25" s="69">
        <f ca="1">ARD!L31</f>
        <v>675.125</v>
      </c>
      <c r="O25" s="2"/>
      <c r="P25" s="2"/>
      <c r="Q25" s="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2:32" x14ac:dyDescent="0.3">
      <c r="B26" s="1"/>
      <c r="C26" s="62">
        <f t="shared" si="1"/>
        <v>21</v>
      </c>
      <c r="D26" s="62" t="str">
        <f>IR!A22</f>
        <v>INV-2026-021</v>
      </c>
      <c r="E26" s="62" t="str">
        <f>VLOOKUP(PR!$D26,IR!$A$2:$F$101,2)</f>
        <v>Henry Lewis</v>
      </c>
      <c r="F26" s="63">
        <f>VLOOKUP(PR!$D26,IR!$A$2:$F$101,3)</f>
        <v>46309</v>
      </c>
      <c r="G26" s="64">
        <f>VLOOKUP(PR!$D26,IR!$A$2:$F$101,4)</f>
        <v>725</v>
      </c>
      <c r="H26" s="64" t="str">
        <f>VLOOKUP(PR!$D26,IR!$A$2:$F$101,5)</f>
        <v>Office supplies</v>
      </c>
      <c r="I26" s="63" t="str">
        <f>VLOOKUP(PR!$D26,IR!$A$2:$F$101,6)</f>
        <v>PAY-7021</v>
      </c>
      <c r="J26" s="64">
        <v>725</v>
      </c>
      <c r="K26" s="63">
        <f>WORKDAY(Table3[[#This Row],[Date of invoice]],2)</f>
        <v>46311</v>
      </c>
      <c r="L26" s="64">
        <f>IF(PR!$J26=0,PR!$G26*50%,PR!$J26)</f>
        <v>725</v>
      </c>
      <c r="M26" s="65" t="str">
        <f t="shared" si="0"/>
        <v>Paid All</v>
      </c>
      <c r="N26" s="65">
        <f ca="1">ARD!L32</f>
        <v>725</v>
      </c>
      <c r="O26" s="2"/>
      <c r="P26" s="2"/>
      <c r="Q26" s="3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2" x14ac:dyDescent="0.3">
      <c r="B27" s="1"/>
      <c r="C27" s="66">
        <f t="shared" si="1"/>
        <v>22</v>
      </c>
      <c r="D27" s="66" t="str">
        <f>IR!A23</f>
        <v>INV-2026-022</v>
      </c>
      <c r="E27" s="66" t="str">
        <f>VLOOKUP(PR!$D27,IR!$A$2:$F$101,2)</f>
        <v>Poppy Robinson</v>
      </c>
      <c r="F27" s="67">
        <f>VLOOKUP(PR!$D27,IR!$A$2:$F$101,3)</f>
        <v>46311</v>
      </c>
      <c r="G27" s="68">
        <f>VLOOKUP(PR!$D27,IR!$A$2:$F$101,4)</f>
        <v>2350.5</v>
      </c>
      <c r="H27" s="68" t="str">
        <f>VLOOKUP(PR!$D27,IR!$A$2:$F$101,5)</f>
        <v>Consulting services</v>
      </c>
      <c r="I27" s="67" t="str">
        <f>VLOOKUP(PR!$D27,IR!$A$2:$F$101,6)</f>
        <v>PAY-7022</v>
      </c>
      <c r="J27" s="68"/>
      <c r="K27" s="67">
        <f>WORKDAY(Table3[[#This Row],[Date of invoice]],2)</f>
        <v>46315</v>
      </c>
      <c r="L27" s="68">
        <f>IF(PR!$J27=0,PR!$G27*50%,PR!$J27)</f>
        <v>1175.25</v>
      </c>
      <c r="M27" s="69">
        <f t="shared" si="0"/>
        <v>1175.25</v>
      </c>
      <c r="N27" s="69">
        <f ca="1">ARD!L33</f>
        <v>1175.25</v>
      </c>
      <c r="O27" s="2"/>
      <c r="P27" s="2"/>
      <c r="Q27" s="3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2:32" x14ac:dyDescent="0.3">
      <c r="B28" s="1"/>
      <c r="C28" s="62">
        <f t="shared" si="1"/>
        <v>23</v>
      </c>
      <c r="D28" s="62" t="str">
        <f>IR!A24</f>
        <v>INV-2026-023</v>
      </c>
      <c r="E28" s="62" t="str">
        <f>VLOOKUP(PR!$D28,IR!$A$2:$F$101,2)</f>
        <v>Alfie Walker</v>
      </c>
      <c r="F28" s="63">
        <f>VLOOKUP(PR!$D28,IR!$A$2:$F$101,3)</f>
        <v>46252</v>
      </c>
      <c r="G28" s="64">
        <f>VLOOKUP(PR!$D28,IR!$A$2:$F$101,4)</f>
        <v>560</v>
      </c>
      <c r="H28" s="64" t="str">
        <f>VLOOKUP(PR!$D28,IR!$A$2:$F$101,5)</f>
        <v>Equipment purchase</v>
      </c>
      <c r="I28" s="63" t="str">
        <f>VLOOKUP(PR!$D28,IR!$A$2:$F$101,6)</f>
        <v>PAY-7023</v>
      </c>
      <c r="J28" s="64">
        <v>580</v>
      </c>
      <c r="K28" s="63">
        <f>WORKDAY(Table3[[#This Row],[Date of invoice]],2)</f>
        <v>46254</v>
      </c>
      <c r="L28" s="64">
        <f>IF(PR!$J28=0,PR!$G28*50%,PR!$J28)</f>
        <v>580</v>
      </c>
      <c r="M28" s="65">
        <f t="shared" si="0"/>
        <v>-20</v>
      </c>
      <c r="N28" s="65">
        <f>ARD!L34</f>
        <v>580</v>
      </c>
      <c r="O28" s="2"/>
      <c r="P28" s="2"/>
      <c r="Q28" s="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2:32" x14ac:dyDescent="0.3">
      <c r="B29" s="1"/>
      <c r="C29" s="66">
        <f t="shared" si="1"/>
        <v>24</v>
      </c>
      <c r="D29" s="66" t="str">
        <f>IR!A25</f>
        <v>INV-2026-024</v>
      </c>
      <c r="E29" s="66" t="str">
        <f>VLOOKUP(PR!$D29,IR!$A$2:$F$101,2)</f>
        <v>Evie Hall</v>
      </c>
      <c r="F29" s="67">
        <f>VLOOKUP(PR!$D29,IR!$A$2:$F$101,3)</f>
        <v>46256</v>
      </c>
      <c r="G29" s="68">
        <f>VLOOKUP(PR!$D29,IR!$A$2:$F$101,4)</f>
        <v>1025.75</v>
      </c>
      <c r="H29" s="68" t="str">
        <f>VLOOKUP(PR!$D29,IR!$A$2:$F$101,5)</f>
        <v>Monthly subscription</v>
      </c>
      <c r="I29" s="67" t="str">
        <f>VLOOKUP(PR!$D29,IR!$A$2:$F$101,6)</f>
        <v>PAY-7024</v>
      </c>
      <c r="J29" s="68"/>
      <c r="K29" s="67">
        <f>WORKDAY(Table3[[#This Row],[Date of invoice]],2)</f>
        <v>46259</v>
      </c>
      <c r="L29" s="68">
        <f>IF(PR!$J29=0,PR!$G29*50%,PR!$J29)</f>
        <v>512.875</v>
      </c>
      <c r="M29" s="69">
        <f t="shared" si="0"/>
        <v>512.875</v>
      </c>
      <c r="N29" s="69">
        <f ca="1">ARD!L35</f>
        <v>584.67750000000001</v>
      </c>
      <c r="O29" s="2"/>
      <c r="P29" s="2"/>
      <c r="Q29" s="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2:32" x14ac:dyDescent="0.3">
      <c r="B30" s="1"/>
      <c r="C30" s="62">
        <f t="shared" si="1"/>
        <v>25</v>
      </c>
      <c r="D30" s="62" t="str">
        <f>IR!A26</f>
        <v>INV-2026-025</v>
      </c>
      <c r="E30" s="62" t="str">
        <f>VLOOKUP(PR!$D30,IR!$A$2:$F$101,2)</f>
        <v>Leo Young</v>
      </c>
      <c r="F30" s="63">
        <f>VLOOKUP(PR!$D30,IR!$A$2:$F$101,3)</f>
        <v>46262</v>
      </c>
      <c r="G30" s="64">
        <f>VLOOKUP(PR!$D30,IR!$A$2:$F$101,4)</f>
        <v>440</v>
      </c>
      <c r="H30" s="64" t="str">
        <f>VLOOKUP(PR!$D30,IR!$A$2:$F$101,5)</f>
        <v>Project delivery</v>
      </c>
      <c r="I30" s="63" t="str">
        <f>VLOOKUP(PR!$D30,IR!$A$2:$F$101,6)</f>
        <v>PAY-7025</v>
      </c>
      <c r="J30" s="64"/>
      <c r="K30" s="63">
        <f>WORKDAY(Table3[[#This Row],[Date of invoice]],2)</f>
        <v>46266</v>
      </c>
      <c r="L30" s="64">
        <f>IF(PR!$J30=0,PR!$G30*50%,PR!$J30)</f>
        <v>220</v>
      </c>
      <c r="M30" s="65">
        <f t="shared" si="0"/>
        <v>220</v>
      </c>
      <c r="N30" s="65">
        <f ca="1">ARD!L36</f>
        <v>244.2</v>
      </c>
      <c r="O30" s="2"/>
      <c r="P30" s="2"/>
      <c r="Q30" s="3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2:32" x14ac:dyDescent="0.3">
      <c r="B31" s="1"/>
      <c r="C31" s="66">
        <f t="shared" si="1"/>
        <v>26</v>
      </c>
      <c r="D31" s="66" t="str">
        <f>IR!A27</f>
        <v>INV-2026-026</v>
      </c>
      <c r="E31" s="66" t="str">
        <f>VLOOKUP(PR!$D31,IR!$A$2:$F$101,2)</f>
        <v>Florence King</v>
      </c>
      <c r="F31" s="67">
        <f>VLOOKUP(PR!$D31,IR!$A$2:$F$101,3)</f>
        <v>46268</v>
      </c>
      <c r="G31" s="68">
        <f>VLOOKUP(PR!$D31,IR!$A$2:$F$101,4)</f>
        <v>1780</v>
      </c>
      <c r="H31" s="68" t="str">
        <f>VLOOKUP(PR!$D31,IR!$A$2:$F$101,5)</f>
        <v>Marketing services</v>
      </c>
      <c r="I31" s="67" t="str">
        <f>VLOOKUP(PR!$D31,IR!$A$2:$F$101,6)</f>
        <v>PAY-7026</v>
      </c>
      <c r="J31" s="68"/>
      <c r="K31" s="67">
        <f>WORKDAY(Table3[[#This Row],[Date of invoice]],2)</f>
        <v>46272</v>
      </c>
      <c r="L31" s="68">
        <f>IF(PR!$J31=0,PR!$G31*50%,PR!$J31)</f>
        <v>890</v>
      </c>
      <c r="M31" s="69">
        <f t="shared" si="0"/>
        <v>890</v>
      </c>
      <c r="N31" s="69">
        <f ca="1">ARD!L37</f>
        <v>961.2</v>
      </c>
      <c r="O31" s="2"/>
      <c r="P31" s="2"/>
      <c r="Q31" s="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2:32" x14ac:dyDescent="0.3">
      <c r="B32" s="1"/>
      <c r="C32" s="62">
        <f t="shared" si="1"/>
        <v>27</v>
      </c>
      <c r="D32" s="62" t="str">
        <f>IR!A28</f>
        <v>INV-2026-027</v>
      </c>
      <c r="E32" s="62" t="str">
        <f>VLOOKUP(PR!$D32,IR!$A$2:$F$101,2)</f>
        <v>Archie Wright</v>
      </c>
      <c r="F32" s="63">
        <f>VLOOKUP(PR!$D32,IR!$A$2:$F$101,3)</f>
        <v>46272</v>
      </c>
      <c r="G32" s="64">
        <f>VLOOKUP(PR!$D32,IR!$A$2:$F$101,4)</f>
        <v>315.25</v>
      </c>
      <c r="H32" s="64" t="str">
        <f>VLOOKUP(PR!$D32,IR!$A$2:$F$101,5)</f>
        <v>Maintenance services</v>
      </c>
      <c r="I32" s="63" t="str">
        <f>VLOOKUP(PR!$D32,IR!$A$2:$F$101,6)</f>
        <v>PAY-7027</v>
      </c>
      <c r="J32" s="64"/>
      <c r="K32" s="63">
        <f>WORKDAY(Table3[[#This Row],[Date of invoice]],2)</f>
        <v>46274</v>
      </c>
      <c r="L32" s="64">
        <f>IF(PR!$J32=0,PR!$G32*50%,PR!$J32)</f>
        <v>157.625</v>
      </c>
      <c r="M32" s="65">
        <f t="shared" si="0"/>
        <v>157.625</v>
      </c>
      <c r="N32" s="65">
        <f ca="1">ARD!L38</f>
        <v>165.50624999999999</v>
      </c>
      <c r="O32" s="2"/>
      <c r="P32" s="2"/>
      <c r="Q32" s="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2:32" x14ac:dyDescent="0.3">
      <c r="B33" s="1"/>
      <c r="C33" s="66">
        <f t="shared" si="1"/>
        <v>28</v>
      </c>
      <c r="D33" s="66" t="str">
        <f>IR!A29</f>
        <v>INV-2026-028</v>
      </c>
      <c r="E33" s="66" t="str">
        <f>VLOOKUP(PR!$D33,IR!$A$2:$F$101,2)</f>
        <v>Ivy Scott</v>
      </c>
      <c r="F33" s="67">
        <f>VLOOKUP(PR!$D33,IR!$A$2:$F$101,3)</f>
        <v>46276</v>
      </c>
      <c r="G33" s="68">
        <f>VLOOKUP(PR!$D33,IR!$A$2:$F$101,4)</f>
        <v>940</v>
      </c>
      <c r="H33" s="68" t="str">
        <f>VLOOKUP(PR!$D33,IR!$A$2:$F$101,5)</f>
        <v>Software licence</v>
      </c>
      <c r="I33" s="67" t="str">
        <f>VLOOKUP(PR!$D33,IR!$A$2:$F$101,6)</f>
        <v>PAY-7028</v>
      </c>
      <c r="J33" s="68"/>
      <c r="K33" s="67">
        <f>WORKDAY(Table3[[#This Row],[Date of invoice]],2)</f>
        <v>46280</v>
      </c>
      <c r="L33" s="68">
        <f>IF(PR!$J33=0,PR!$G33*50%,PR!$J33)</f>
        <v>470</v>
      </c>
      <c r="M33" s="69">
        <f t="shared" si="0"/>
        <v>470</v>
      </c>
      <c r="N33" s="69">
        <f ca="1">ARD!L39</f>
        <v>479.4</v>
      </c>
      <c r="O33" s="2"/>
      <c r="P33" s="2"/>
      <c r="Q33" s="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2:32" x14ac:dyDescent="0.3">
      <c r="B34" s="1"/>
      <c r="C34" s="62">
        <f t="shared" si="1"/>
        <v>29</v>
      </c>
      <c r="D34" s="62" t="str">
        <f>IR!A30</f>
        <v>INV-2026-029</v>
      </c>
      <c r="E34" s="62" t="str">
        <f>VLOOKUP(PR!$D34,IR!$A$2:$F$101,2)</f>
        <v>Freddie Green</v>
      </c>
      <c r="F34" s="63">
        <f>VLOOKUP(PR!$D34,IR!$A$2:$F$101,3)</f>
        <v>46279</v>
      </c>
      <c r="G34" s="64">
        <f>VLOOKUP(PR!$D34,IR!$A$2:$F$101,4)</f>
        <v>2450</v>
      </c>
      <c r="H34" s="64" t="str">
        <f>VLOOKUP(PR!$D34,IR!$A$2:$F$101,5)</f>
        <v>Stationery order</v>
      </c>
      <c r="I34" s="63" t="str">
        <f>VLOOKUP(PR!$D34,IR!$A$2:$F$101,6)</f>
        <v>PAY-7029</v>
      </c>
      <c r="J34" s="64"/>
      <c r="K34" s="63">
        <f>WORKDAY(Table3[[#This Row],[Date of invoice]],2)</f>
        <v>46281</v>
      </c>
      <c r="L34" s="64">
        <f>IF(PR!$J34=0,PR!$G34*50%,PR!$J34)</f>
        <v>1225</v>
      </c>
      <c r="M34" s="65">
        <f t="shared" si="0"/>
        <v>1225</v>
      </c>
      <c r="N34" s="65">
        <f ca="1">ARD!L40</f>
        <v>1249.5</v>
      </c>
      <c r="O34" s="2"/>
      <c r="P34" s="2"/>
      <c r="Q34" s="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2:32" x14ac:dyDescent="0.3">
      <c r="B35" s="1"/>
      <c r="C35" s="66">
        <f t="shared" si="1"/>
        <v>30</v>
      </c>
      <c r="D35" s="66" t="str">
        <f>IR!A31</f>
        <v>INV-2026-030</v>
      </c>
      <c r="E35" s="66" t="str">
        <f>VLOOKUP(PR!$D35,IR!$A$2:$F$101,2)</f>
        <v>Elsie Baker</v>
      </c>
      <c r="F35" s="67">
        <f>VLOOKUP(PR!$D35,IR!$A$2:$F$101,3)</f>
        <v>46282</v>
      </c>
      <c r="G35" s="68">
        <f>VLOOKUP(PR!$D35,IR!$A$2:$F$101,4)</f>
        <v>685.5</v>
      </c>
      <c r="H35" s="68" t="str">
        <f>VLOOKUP(PR!$D35,IR!$A$2:$F$101,5)</f>
        <v>Training services</v>
      </c>
      <c r="I35" s="67" t="str">
        <f>VLOOKUP(PR!$D35,IR!$A$2:$F$101,6)</f>
        <v>PAY-7030</v>
      </c>
      <c r="J35" s="68">
        <v>685</v>
      </c>
      <c r="K35" s="67">
        <f>WORKDAY(Table3[[#This Row],[Date of invoice]],2)</f>
        <v>46286</v>
      </c>
      <c r="L35" s="68">
        <f>IF(PR!$J35=0,PR!$G35*50%,PR!$J35)</f>
        <v>685</v>
      </c>
      <c r="M35" s="69">
        <f t="shared" si="0"/>
        <v>0.5</v>
      </c>
      <c r="N35" s="69">
        <f>ARD!L41</f>
        <v>685</v>
      </c>
      <c r="O35" s="2"/>
      <c r="P35" s="2"/>
      <c r="Q35" s="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2:32" x14ac:dyDescent="0.3">
      <c r="B36" s="1"/>
      <c r="C36" s="62">
        <f t="shared" si="1"/>
        <v>31</v>
      </c>
      <c r="D36" s="62" t="str">
        <f>IR!A32</f>
        <v>INV-2026-031</v>
      </c>
      <c r="E36" s="62" t="str">
        <f>VLOOKUP(PR!$D36,IR!$A$2:$F$101,2)</f>
        <v>Ethan Adams</v>
      </c>
      <c r="F36" s="63">
        <f>VLOOKUP(PR!$D36,IR!$A$2:$F$101,3)</f>
        <v>46286</v>
      </c>
      <c r="G36" s="64">
        <f>VLOOKUP(PR!$D36,IR!$A$2:$F$101,4)</f>
        <v>1150</v>
      </c>
      <c r="H36" s="64" t="str">
        <f>VLOOKUP(PR!$D36,IR!$A$2:$F$101,5)</f>
        <v>Office supplies</v>
      </c>
      <c r="I36" s="63" t="str">
        <f>VLOOKUP(PR!$D36,IR!$A$2:$F$101,6)</f>
        <v>PAY-7031</v>
      </c>
      <c r="J36" s="64"/>
      <c r="K36" s="63">
        <f>WORKDAY(Table3[[#This Row],[Date of invoice]],2)</f>
        <v>46288</v>
      </c>
      <c r="L36" s="64">
        <f>IF(PR!$J36=0,PR!$G36*50%,PR!$J36)</f>
        <v>575</v>
      </c>
      <c r="M36" s="65">
        <f t="shared" si="0"/>
        <v>575</v>
      </c>
      <c r="N36" s="65">
        <f ca="1">ARD!L42</f>
        <v>575</v>
      </c>
      <c r="O36" s="2"/>
      <c r="P36" s="2"/>
      <c r="Q36" s="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2:32" x14ac:dyDescent="0.3">
      <c r="B37" s="1"/>
      <c r="C37" s="66">
        <f t="shared" si="1"/>
        <v>32</v>
      </c>
      <c r="D37" s="66" t="str">
        <f>IR!A33</f>
        <v>INV-2026-032</v>
      </c>
      <c r="E37" s="66" t="str">
        <f>VLOOKUP(PR!$D37,IR!$A$2:$F$101,2)</f>
        <v>Ruby Nelson</v>
      </c>
      <c r="F37" s="67">
        <f>VLOOKUP(PR!$D37,IR!$A$2:$F$101,3)</f>
        <v>46289</v>
      </c>
      <c r="G37" s="68">
        <f>VLOOKUP(PR!$D37,IR!$A$2:$F$101,4)</f>
        <v>395.75</v>
      </c>
      <c r="H37" s="68" t="str">
        <f>VLOOKUP(PR!$D37,IR!$A$2:$F$101,5)</f>
        <v>Consulting services</v>
      </c>
      <c r="I37" s="67" t="str">
        <f>VLOOKUP(PR!$D37,IR!$A$2:$F$101,6)</f>
        <v>PAY-7032</v>
      </c>
      <c r="J37" s="68"/>
      <c r="K37" s="67">
        <f>WORKDAY(Table3[[#This Row],[Date of invoice]],2)</f>
        <v>46293</v>
      </c>
      <c r="L37" s="68">
        <f>IF(PR!$J37=0,PR!$G37*50%,PR!$J37)</f>
        <v>197.875</v>
      </c>
      <c r="M37" s="69">
        <f t="shared" si="0"/>
        <v>197.875</v>
      </c>
      <c r="N37" s="69">
        <f ca="1">ARD!L43</f>
        <v>197.875</v>
      </c>
      <c r="O37" s="2"/>
      <c r="P37" s="2"/>
      <c r="Q37" s="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2:32" x14ac:dyDescent="0.3">
      <c r="B38" s="1"/>
      <c r="C38" s="62">
        <f t="shared" si="1"/>
        <v>33</v>
      </c>
      <c r="D38" s="62" t="str">
        <f>IR!A34</f>
        <v>INV-2026-033</v>
      </c>
      <c r="E38" s="62" t="str">
        <f>VLOOKUP(PR!$D38,IR!$A$2:$F$101,2)</f>
        <v>Lucas Hill</v>
      </c>
      <c r="F38" s="63">
        <f>VLOOKUP(PR!$D38,IR!$A$2:$F$101,3)</f>
        <v>46292</v>
      </c>
      <c r="G38" s="64">
        <f>VLOOKUP(PR!$D38,IR!$A$2:$F$101,4)</f>
        <v>2850</v>
      </c>
      <c r="H38" s="64" t="str">
        <f>VLOOKUP(PR!$D38,IR!$A$2:$F$101,5)</f>
        <v>Equipment purchase</v>
      </c>
      <c r="I38" s="63" t="str">
        <f>VLOOKUP(PR!$D38,IR!$A$2:$F$101,6)</f>
        <v>PAY-7033</v>
      </c>
      <c r="J38" s="64"/>
      <c r="K38" s="63">
        <f>WORKDAY(Table3[[#This Row],[Date of invoice]],2)</f>
        <v>46294</v>
      </c>
      <c r="L38" s="64">
        <f>IF(PR!$J38=0,PR!$G38*50%,PR!$J38)</f>
        <v>1425</v>
      </c>
      <c r="M38" s="65">
        <f t="shared" ref="M38:M69" si="2">IF(L38=G38,"Paid All",G38-L38)</f>
        <v>1425</v>
      </c>
      <c r="N38" s="65">
        <f ca="1">ARD!L44</f>
        <v>1425</v>
      </c>
      <c r="O38" s="2"/>
      <c r="P38" s="2"/>
      <c r="Q38" s="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2:32" x14ac:dyDescent="0.3">
      <c r="B39" s="1"/>
      <c r="C39" s="66">
        <f t="shared" ref="C39:C70" si="3">C38+1</f>
        <v>34</v>
      </c>
      <c r="D39" s="66" t="str">
        <f>IR!A35</f>
        <v>INV-2026-034</v>
      </c>
      <c r="E39" s="66" t="str">
        <f>VLOOKUP(PR!$D39,IR!$A$2:$F$101,2)</f>
        <v>Daisy Lewis</v>
      </c>
      <c r="F39" s="67">
        <f>VLOOKUP(PR!$D39,IR!$A$2:$F$101,3)</f>
        <v>46294</v>
      </c>
      <c r="G39" s="68">
        <f>VLOOKUP(PR!$D39,IR!$A$2:$F$101,4)</f>
        <v>760</v>
      </c>
      <c r="H39" s="68" t="str">
        <f>VLOOKUP(PR!$D39,IR!$A$2:$F$101,5)</f>
        <v>Monthly subscription</v>
      </c>
      <c r="I39" s="67" t="str">
        <f>VLOOKUP(PR!$D39,IR!$A$2:$F$101,6)</f>
        <v>PAY-7034</v>
      </c>
      <c r="J39" s="68"/>
      <c r="K39" s="67">
        <f>WORKDAY(Table3[[#This Row],[Date of invoice]],2)</f>
        <v>46296</v>
      </c>
      <c r="L39" s="68">
        <f>IF(PR!$J39=0,PR!$G39*50%,PR!$J39)</f>
        <v>380</v>
      </c>
      <c r="M39" s="69">
        <f t="shared" si="2"/>
        <v>380</v>
      </c>
      <c r="N39" s="69">
        <f ca="1">ARD!L45</f>
        <v>380</v>
      </c>
      <c r="O39" s="2"/>
      <c r="P39" s="2"/>
      <c r="Q39" s="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2:32" x14ac:dyDescent="0.3">
      <c r="B40" s="1"/>
      <c r="C40" s="62">
        <f t="shared" si="3"/>
        <v>35</v>
      </c>
      <c r="D40" s="62" t="str">
        <f>IR!A36</f>
        <v>INV-2026-035</v>
      </c>
      <c r="E40" s="62" t="str">
        <f>VLOOKUP(PR!$D40,IR!$A$2:$F$101,2)</f>
        <v>Finley Clark</v>
      </c>
      <c r="F40" s="63">
        <f>VLOOKUP(PR!$D40,IR!$A$2:$F$101,3)</f>
        <v>46296</v>
      </c>
      <c r="G40" s="64">
        <f>VLOOKUP(PR!$D40,IR!$A$2:$F$101,4)</f>
        <v>1425.5</v>
      </c>
      <c r="H40" s="64" t="str">
        <f>VLOOKUP(PR!$D40,IR!$A$2:$F$101,5)</f>
        <v>Project delivery</v>
      </c>
      <c r="I40" s="63" t="str">
        <f>VLOOKUP(PR!$D40,IR!$A$2:$F$101,6)</f>
        <v>PAY-7035</v>
      </c>
      <c r="J40" s="64"/>
      <c r="K40" s="63">
        <f>WORKDAY(Table3[[#This Row],[Date of invoice]],2)</f>
        <v>46300</v>
      </c>
      <c r="L40" s="64">
        <f>IF(PR!$J40=0,PR!$G40*50%,PR!$J40)</f>
        <v>712.75</v>
      </c>
      <c r="M40" s="65">
        <f t="shared" si="2"/>
        <v>712.75</v>
      </c>
      <c r="N40" s="65">
        <f ca="1">ARD!L46</f>
        <v>712.75</v>
      </c>
      <c r="O40" s="2"/>
      <c r="P40" s="2"/>
      <c r="Q40" s="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2:32" x14ac:dyDescent="0.3">
      <c r="B41" s="1"/>
      <c r="C41" s="66">
        <f t="shared" si="3"/>
        <v>36</v>
      </c>
      <c r="D41" s="66" t="str">
        <f>IR!A37</f>
        <v>INV-2026-036</v>
      </c>
      <c r="E41" s="66" t="str">
        <f>VLOOKUP(PR!$D41,IR!$A$2:$F$101,2)</f>
        <v>Chloe Mitchell</v>
      </c>
      <c r="F41" s="67">
        <f>VLOOKUP(PR!$D41,IR!$A$2:$F$101,3)</f>
        <v>46298</v>
      </c>
      <c r="G41" s="68">
        <f>VLOOKUP(PR!$D41,IR!$A$2:$F$101,4)</f>
        <v>530</v>
      </c>
      <c r="H41" s="68" t="str">
        <f>VLOOKUP(PR!$D41,IR!$A$2:$F$101,5)</f>
        <v>Marketing services</v>
      </c>
      <c r="I41" s="67" t="str">
        <f>VLOOKUP(PR!$D41,IR!$A$2:$F$101,6)</f>
        <v>PAY-7036</v>
      </c>
      <c r="J41" s="68">
        <v>560</v>
      </c>
      <c r="K41" s="67">
        <f>WORKDAY(Table3[[#This Row],[Date of invoice]],2)</f>
        <v>46301</v>
      </c>
      <c r="L41" s="68">
        <f>IF(PR!$J41=0,PR!$G41*50%,PR!$J41)</f>
        <v>560</v>
      </c>
      <c r="M41" s="69">
        <f t="shared" si="2"/>
        <v>-30</v>
      </c>
      <c r="N41" s="69">
        <f>ARD!L47</f>
        <v>560</v>
      </c>
      <c r="O41" s="2"/>
      <c r="P41" s="2"/>
      <c r="Q41" s="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2:32" x14ac:dyDescent="0.3">
      <c r="B42" s="1"/>
      <c r="C42" s="62">
        <f t="shared" si="3"/>
        <v>37</v>
      </c>
      <c r="D42" s="62" t="str">
        <f>IR!A38</f>
        <v>INV-2026-037</v>
      </c>
      <c r="E42" s="62" t="str">
        <f>VLOOKUP(PR!$D42,IR!$A$2:$F$101,2)</f>
        <v>Mason Thompson</v>
      </c>
      <c r="F42" s="63">
        <f>VLOOKUP(PR!$D42,IR!$A$2:$F$101,3)</f>
        <v>46300</v>
      </c>
      <c r="G42" s="64">
        <f>VLOOKUP(PR!$D42,IR!$A$2:$F$101,4)</f>
        <v>975.25</v>
      </c>
      <c r="H42" s="64" t="str">
        <f>VLOOKUP(PR!$D42,IR!$A$2:$F$101,5)</f>
        <v>Maintenance services</v>
      </c>
      <c r="I42" s="63" t="str">
        <f>VLOOKUP(PR!$D42,IR!$A$2:$F$101,6)</f>
        <v>PAY-7037</v>
      </c>
      <c r="J42" s="64"/>
      <c r="K42" s="63">
        <f>WORKDAY(Table3[[#This Row],[Date of invoice]],2)</f>
        <v>46302</v>
      </c>
      <c r="L42" s="64">
        <f>IF(PR!$J42=0,PR!$G42*50%,PR!$J42)</f>
        <v>487.625</v>
      </c>
      <c r="M42" s="65">
        <f t="shared" si="2"/>
        <v>487.625</v>
      </c>
      <c r="N42" s="65">
        <f ca="1">ARD!L48</f>
        <v>487.625</v>
      </c>
      <c r="O42" s="2"/>
      <c r="P42" s="2"/>
      <c r="Q42" s="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2:32" x14ac:dyDescent="0.3">
      <c r="B43" s="1"/>
      <c r="C43" s="66">
        <f t="shared" si="3"/>
        <v>38</v>
      </c>
      <c r="D43" s="66" t="str">
        <f>IR!A39</f>
        <v>INV-2026-038</v>
      </c>
      <c r="E43" s="66" t="str">
        <f>VLOOKUP(PR!$D43,IR!$A$2:$F$101,2)</f>
        <v>Sophie Wilson</v>
      </c>
      <c r="F43" s="67">
        <f>VLOOKUP(PR!$D43,IR!$A$2:$F$101,3)</f>
        <v>46302</v>
      </c>
      <c r="G43" s="68">
        <f>VLOOKUP(PR!$D43,IR!$A$2:$F$101,4)</f>
        <v>1850</v>
      </c>
      <c r="H43" s="68" t="str">
        <f>VLOOKUP(PR!$D43,IR!$A$2:$F$101,5)</f>
        <v>Software licence</v>
      </c>
      <c r="I43" s="67" t="str">
        <f>VLOOKUP(PR!$D43,IR!$A$2:$F$101,6)</f>
        <v>PAY-7038</v>
      </c>
      <c r="J43" s="68"/>
      <c r="K43" s="67">
        <f>WORKDAY(Table3[[#This Row],[Date of invoice]],2)</f>
        <v>46304</v>
      </c>
      <c r="L43" s="68">
        <f>IF(PR!$J43=0,PR!$G43*50%,PR!$J43)</f>
        <v>925</v>
      </c>
      <c r="M43" s="69">
        <f t="shared" si="2"/>
        <v>925</v>
      </c>
      <c r="N43" s="69">
        <f ca="1">ARD!L49</f>
        <v>925</v>
      </c>
      <c r="O43" s="2"/>
      <c r="P43" s="2"/>
      <c r="Q43" s="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2:32" x14ac:dyDescent="0.3">
      <c r="B44" s="1"/>
      <c r="C44" s="62">
        <f t="shared" si="3"/>
        <v>39</v>
      </c>
      <c r="D44" s="62" t="str">
        <f>IR!A40</f>
        <v>INV-2026-039</v>
      </c>
      <c r="E44" s="62" t="str">
        <f>VLOOKUP(PR!$D44,IR!$A$2:$F$101,2)</f>
        <v>Teddy Carter</v>
      </c>
      <c r="F44" s="63">
        <f>VLOOKUP(PR!$D44,IR!$A$2:$F$101,3)</f>
        <v>46304</v>
      </c>
      <c r="G44" s="64">
        <f>VLOOKUP(PR!$D44,IR!$A$2:$F$101,4)</f>
        <v>280</v>
      </c>
      <c r="H44" s="64" t="str">
        <f>VLOOKUP(PR!$D44,IR!$A$2:$F$101,5)</f>
        <v>Stationery order</v>
      </c>
      <c r="I44" s="63" t="str">
        <f>VLOOKUP(PR!$D44,IR!$A$2:$F$101,6)</f>
        <v>PAY-7039</v>
      </c>
      <c r="J44" s="64"/>
      <c r="K44" s="63">
        <f>WORKDAY(Table3[[#This Row],[Date of invoice]],2)</f>
        <v>46308</v>
      </c>
      <c r="L44" s="64">
        <f>IF(PR!$J44=0,PR!$G44*50%,PR!$J44)</f>
        <v>140</v>
      </c>
      <c r="M44" s="65">
        <f t="shared" si="2"/>
        <v>140</v>
      </c>
      <c r="N44" s="65">
        <f ca="1">ARD!L50</f>
        <v>140</v>
      </c>
      <c r="O44" s="2"/>
      <c r="P44" s="2"/>
      <c r="Q44" s="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2" x14ac:dyDescent="0.3">
      <c r="B45" s="1"/>
      <c r="C45" s="66">
        <f t="shared" si="3"/>
        <v>40</v>
      </c>
      <c r="D45" s="66" t="str">
        <f>IR!A41</f>
        <v>INV-2026-040</v>
      </c>
      <c r="E45" s="66" t="str">
        <f>VLOOKUP(PR!$D45,IR!$A$2:$F$101,2)</f>
        <v>Millie Bennett</v>
      </c>
      <c r="F45" s="67">
        <f>VLOOKUP(PR!$D45,IR!$A$2:$F$101,3)</f>
        <v>46306</v>
      </c>
      <c r="G45" s="68">
        <f>VLOOKUP(PR!$D45,IR!$A$2:$F$101,4)</f>
        <v>1095.75</v>
      </c>
      <c r="H45" s="68" t="str">
        <f>VLOOKUP(PR!$D45,IR!$A$2:$F$101,5)</f>
        <v>Training services</v>
      </c>
      <c r="I45" s="67" t="str">
        <f>VLOOKUP(PR!$D45,IR!$A$2:$F$101,6)</f>
        <v>PAY-7040</v>
      </c>
      <c r="J45" s="68"/>
      <c r="K45" s="67">
        <f>WORKDAY(Table3[[#This Row],[Date of invoice]],2)</f>
        <v>46308</v>
      </c>
      <c r="L45" s="68">
        <f>IF(PR!$J45=0,PR!$G45*50%,PR!$J45)</f>
        <v>547.875</v>
      </c>
      <c r="M45" s="69">
        <f t="shared" si="2"/>
        <v>547.875</v>
      </c>
      <c r="N45" s="69">
        <f ca="1">ARD!L51</f>
        <v>547.875</v>
      </c>
      <c r="O45" s="2"/>
      <c r="P45" s="2"/>
      <c r="Q45" s="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2:32" x14ac:dyDescent="0.3">
      <c r="B46" s="1"/>
      <c r="C46" s="62">
        <f t="shared" si="3"/>
        <v>41</v>
      </c>
      <c r="D46" s="62" t="str">
        <f>IR!A42</f>
        <v>INV-2026-041</v>
      </c>
      <c r="E46" s="62" t="str">
        <f>VLOOKUP(PR!$D46,IR!$A$2:$F$101,2)</f>
        <v>Benjamin Harris</v>
      </c>
      <c r="F46" s="63">
        <f>VLOOKUP(PR!$D46,IR!$A$2:$F$101,3)</f>
        <v>46308</v>
      </c>
      <c r="G46" s="64">
        <f>VLOOKUP(PR!$D46,IR!$A$2:$F$101,4)</f>
        <v>650</v>
      </c>
      <c r="H46" s="64" t="str">
        <f>VLOOKUP(PR!$D46,IR!$A$2:$F$101,5)</f>
        <v>Office supplies</v>
      </c>
      <c r="I46" s="63" t="str">
        <f>VLOOKUP(PR!$D46,IR!$A$2:$F$101,6)</f>
        <v>PAY-7041</v>
      </c>
      <c r="J46" s="64"/>
      <c r="K46" s="63">
        <f>WORKDAY(Table3[[#This Row],[Date of invoice]],2)</f>
        <v>46310</v>
      </c>
      <c r="L46" s="64">
        <f>IF(PR!$J46=0,PR!$G46*50%,PR!$J46)</f>
        <v>325</v>
      </c>
      <c r="M46" s="65">
        <f t="shared" si="2"/>
        <v>325</v>
      </c>
      <c r="N46" s="65">
        <f ca="1">ARD!L52</f>
        <v>325</v>
      </c>
      <c r="O46" s="2"/>
      <c r="P46" s="2"/>
      <c r="Q46" s="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2" x14ac:dyDescent="0.3">
      <c r="B47" s="1"/>
      <c r="C47" s="66">
        <f t="shared" si="3"/>
        <v>42</v>
      </c>
      <c r="D47" s="66" t="str">
        <f>IR!A43</f>
        <v>INV-2026-042</v>
      </c>
      <c r="E47" s="66" t="str">
        <f>VLOOKUP(PR!$D47,IR!$A$2:$F$101,2)</f>
        <v>Aria Martin</v>
      </c>
      <c r="F47" s="67">
        <f>VLOOKUP(PR!$D47,IR!$A$2:$F$101,3)</f>
        <v>46310</v>
      </c>
      <c r="G47" s="68">
        <f>VLOOKUP(PR!$D47,IR!$A$2:$F$101,4)</f>
        <v>1980.5</v>
      </c>
      <c r="H47" s="68" t="str">
        <f>VLOOKUP(PR!$D47,IR!$A$2:$F$101,5)</f>
        <v>Consulting services</v>
      </c>
      <c r="I47" s="67" t="str">
        <f>VLOOKUP(PR!$D47,IR!$A$2:$F$101,6)</f>
        <v>PAY-7042</v>
      </c>
      <c r="J47" s="68"/>
      <c r="K47" s="67">
        <f>WORKDAY(Table3[[#This Row],[Date of invoice]],2)</f>
        <v>46314</v>
      </c>
      <c r="L47" s="68">
        <f>IF(PR!$J47=0,PR!$G47*50%,PR!$J47)</f>
        <v>990.25</v>
      </c>
      <c r="M47" s="69">
        <f t="shared" si="2"/>
        <v>990.25</v>
      </c>
      <c r="N47" s="69">
        <f ca="1">ARD!L53</f>
        <v>990.25</v>
      </c>
      <c r="O47" s="2"/>
      <c r="P47" s="2"/>
      <c r="Q47" s="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2:32" x14ac:dyDescent="0.3">
      <c r="B48" s="1"/>
      <c r="C48" s="62">
        <f t="shared" si="3"/>
        <v>43</v>
      </c>
      <c r="D48" s="62" t="str">
        <f>IR!A44</f>
        <v>INV-2026-043</v>
      </c>
      <c r="E48" s="62" t="str">
        <f>VLOOKUP(PR!$D48,IR!$A$2:$F$101,2)</f>
        <v>Daniel Moore</v>
      </c>
      <c r="F48" s="63">
        <f>VLOOKUP(PR!$D48,IR!$A$2:$F$101,3)</f>
        <v>46311</v>
      </c>
      <c r="G48" s="64">
        <f>VLOOKUP(PR!$D48,IR!$A$2:$F$101,4)</f>
        <v>845</v>
      </c>
      <c r="H48" s="64" t="str">
        <f>VLOOKUP(PR!$D48,IR!$A$2:$F$101,5)</f>
        <v>Equipment purchase</v>
      </c>
      <c r="I48" s="63" t="str">
        <f>VLOOKUP(PR!$D48,IR!$A$2:$F$101,6)</f>
        <v>PAY-7043</v>
      </c>
      <c r="J48" s="64"/>
      <c r="K48" s="63">
        <f>WORKDAY(Table3[[#This Row],[Date of invoice]],2)</f>
        <v>46315</v>
      </c>
      <c r="L48" s="64">
        <f>IF(PR!$J48=0,PR!$G48*50%,PR!$J48)</f>
        <v>422.5</v>
      </c>
      <c r="M48" s="65">
        <f t="shared" si="2"/>
        <v>422.5</v>
      </c>
      <c r="N48" s="65">
        <f ca="1">ARD!L54</f>
        <v>422.5</v>
      </c>
      <c r="O48" s="2"/>
      <c r="P48" s="2"/>
      <c r="Q48" s="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2" x14ac:dyDescent="0.3">
      <c r="B49" s="1"/>
      <c r="C49" s="66">
        <f t="shared" si="3"/>
        <v>44</v>
      </c>
      <c r="D49" s="66" t="str">
        <f>IR!A45</f>
        <v>INV-2026-044</v>
      </c>
      <c r="E49" s="66" t="str">
        <f>VLOOKUP(PR!$D49,IR!$A$2:$F$101,2)</f>
        <v>Maisie Taylor</v>
      </c>
      <c r="F49" s="67">
        <f>VLOOKUP(PR!$D49,IR!$A$2:$F$101,3)</f>
        <v>46253</v>
      </c>
      <c r="G49" s="68">
        <f>VLOOKUP(PR!$D49,IR!$A$2:$F$101,4)</f>
        <v>420.25</v>
      </c>
      <c r="H49" s="68" t="str">
        <f>VLOOKUP(PR!$D49,IR!$A$2:$F$101,5)</f>
        <v>Monthly subscription</v>
      </c>
      <c r="I49" s="67" t="str">
        <f>VLOOKUP(PR!$D49,IR!$A$2:$F$101,6)</f>
        <v>PAY-7044</v>
      </c>
      <c r="J49" s="68"/>
      <c r="K49" s="67">
        <f>WORKDAY(Table3[[#This Row],[Date of invoice]],2)</f>
        <v>46255</v>
      </c>
      <c r="L49" s="68">
        <f>IF(PR!$J49=0,PR!$G49*50%,PR!$J49)</f>
        <v>210.125</v>
      </c>
      <c r="M49" s="69">
        <f t="shared" si="2"/>
        <v>210.125</v>
      </c>
      <c r="N49" s="69">
        <f ca="1">ARD!L55</f>
        <v>245.84625</v>
      </c>
      <c r="O49" s="2"/>
      <c r="P49" s="2"/>
      <c r="Q49" s="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2:32" x14ac:dyDescent="0.3">
      <c r="B50" s="1"/>
      <c r="C50" s="62">
        <f t="shared" si="3"/>
        <v>45</v>
      </c>
      <c r="D50" s="62" t="str">
        <f>IR!A46</f>
        <v>INV-2026-045</v>
      </c>
      <c r="E50" s="62" t="str">
        <f>VLOOKUP(PR!$D50,IR!$A$2:$F$101,2)</f>
        <v>Samuel Anderson</v>
      </c>
      <c r="F50" s="63">
        <f>VLOOKUP(PR!$D50,IR!$A$2:$F$101,3)</f>
        <v>46258</v>
      </c>
      <c r="G50" s="64">
        <f>VLOOKUP(PR!$D50,IR!$A$2:$F$101,4)</f>
        <v>2650</v>
      </c>
      <c r="H50" s="64" t="str">
        <f>VLOOKUP(PR!$D50,IR!$A$2:$F$101,5)</f>
        <v>Project delivery</v>
      </c>
      <c r="I50" s="63" t="str">
        <f>VLOOKUP(PR!$D50,IR!$A$2:$F$101,6)</f>
        <v>PAY-7045</v>
      </c>
      <c r="J50" s="64"/>
      <c r="K50" s="63">
        <f>WORKDAY(Table3[[#This Row],[Date of invoice]],2)</f>
        <v>46260</v>
      </c>
      <c r="L50" s="64">
        <f>IF(PR!$J50=0,PR!$G50*50%,PR!$J50)</f>
        <v>1325</v>
      </c>
      <c r="M50" s="65">
        <f t="shared" si="2"/>
        <v>1325</v>
      </c>
      <c r="N50" s="65">
        <f ca="1">ARD!L56</f>
        <v>1510.5</v>
      </c>
      <c r="O50" s="2"/>
      <c r="P50" s="2"/>
      <c r="Q50" s="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2:32" x14ac:dyDescent="0.3">
      <c r="B51" s="1"/>
      <c r="C51" s="66">
        <f t="shared" si="3"/>
        <v>46</v>
      </c>
      <c r="D51" s="66" t="str">
        <f>IR!A47</f>
        <v>INV-2026-046</v>
      </c>
      <c r="E51" s="66" t="str">
        <f>VLOOKUP(PR!$D51,IR!$A$2:$F$101,2)</f>
        <v>Sienna Thomas</v>
      </c>
      <c r="F51" s="67">
        <f>VLOOKUP(PR!$D51,IR!$A$2:$F$101,3)</f>
        <v>46263</v>
      </c>
      <c r="G51" s="68">
        <f>VLOOKUP(PR!$D51,IR!$A$2:$F$101,4)</f>
        <v>715.5</v>
      </c>
      <c r="H51" s="68" t="str">
        <f>VLOOKUP(PR!$D51,IR!$A$2:$F$101,5)</f>
        <v>Marketing services</v>
      </c>
      <c r="I51" s="67" t="str">
        <f>VLOOKUP(PR!$D51,IR!$A$2:$F$101,6)</f>
        <v>PAY-7046</v>
      </c>
      <c r="J51" s="68"/>
      <c r="K51" s="67">
        <f>WORKDAY(Table3[[#This Row],[Date of invoice]],2)</f>
        <v>46266</v>
      </c>
      <c r="L51" s="68">
        <f>IF(PR!$J51=0,PR!$G51*50%,PR!$J51)</f>
        <v>357.75</v>
      </c>
      <c r="M51" s="69">
        <f t="shared" si="2"/>
        <v>357.75</v>
      </c>
      <c r="N51" s="69">
        <f ca="1">ARD!L57</f>
        <v>397.10250000000002</v>
      </c>
      <c r="O51" s="2"/>
      <c r="P51" s="2"/>
      <c r="Q51" s="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2:32" x14ac:dyDescent="0.3">
      <c r="B52" s="1"/>
      <c r="C52" s="62">
        <f t="shared" si="3"/>
        <v>47</v>
      </c>
      <c r="D52" s="62" t="str">
        <f>IR!A48</f>
        <v>INV-2026-047</v>
      </c>
      <c r="E52" s="62" t="str">
        <f>VLOOKUP(PR!$D52,IR!$A$2:$F$101,2)</f>
        <v>Joseph Jackson</v>
      </c>
      <c r="F52" s="63">
        <f>VLOOKUP(PR!$D52,IR!$A$2:$F$101,3)</f>
        <v>46269</v>
      </c>
      <c r="G52" s="64">
        <f>VLOOKUP(PR!$D52,IR!$A$2:$F$101,4)</f>
        <v>390</v>
      </c>
      <c r="H52" s="64" t="str">
        <f>VLOOKUP(PR!$D52,IR!$A$2:$F$101,5)</f>
        <v>Maintenance services</v>
      </c>
      <c r="I52" s="63" t="str">
        <f>VLOOKUP(PR!$D52,IR!$A$2:$F$101,6)</f>
        <v>PAY-7047</v>
      </c>
      <c r="J52" s="64"/>
      <c r="K52" s="63">
        <f>WORKDAY(Table3[[#This Row],[Date of invoice]],2)</f>
        <v>46273</v>
      </c>
      <c r="L52" s="64">
        <f>IF(PR!$J52=0,PR!$G52*50%,PR!$J52)</f>
        <v>195</v>
      </c>
      <c r="M52" s="65">
        <f t="shared" si="2"/>
        <v>195</v>
      </c>
      <c r="N52" s="65">
        <f ca="1">ARD!L58</f>
        <v>210.6</v>
      </c>
      <c r="O52" s="2"/>
      <c r="P52" s="2"/>
      <c r="Q52" s="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2" x14ac:dyDescent="0.3">
      <c r="B53" s="1"/>
      <c r="C53" s="66">
        <f t="shared" si="3"/>
        <v>48</v>
      </c>
      <c r="D53" s="66" t="str">
        <f>IR!A49</f>
        <v>INV-2026-048</v>
      </c>
      <c r="E53" s="66" t="str">
        <f>VLOOKUP(PR!$D53,IR!$A$2:$F$101,2)</f>
        <v>Phoebe White</v>
      </c>
      <c r="F53" s="67">
        <f>VLOOKUP(PR!$D53,IR!$A$2:$F$101,3)</f>
        <v>46273</v>
      </c>
      <c r="G53" s="68">
        <f>VLOOKUP(PR!$D53,IR!$A$2:$F$101,4)</f>
        <v>1560.75</v>
      </c>
      <c r="H53" s="68" t="str">
        <f>VLOOKUP(PR!$D53,IR!$A$2:$F$101,5)</f>
        <v>Software licence</v>
      </c>
      <c r="I53" s="67" t="str">
        <f>VLOOKUP(PR!$D53,IR!$A$2:$F$101,6)</f>
        <v>PAY-7048</v>
      </c>
      <c r="J53" s="68"/>
      <c r="K53" s="67">
        <f>WORKDAY(Table3[[#This Row],[Date of invoice]],2)</f>
        <v>46275</v>
      </c>
      <c r="L53" s="68">
        <f>IF(PR!$J53=0,PR!$G53*50%,PR!$J53)</f>
        <v>780.375</v>
      </c>
      <c r="M53" s="69">
        <f t="shared" si="2"/>
        <v>780.375</v>
      </c>
      <c r="N53" s="69">
        <f ca="1">ARD!L59</f>
        <v>819.39374999999995</v>
      </c>
      <c r="O53" s="2"/>
      <c r="P53" s="2"/>
      <c r="Q53" s="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2:32" x14ac:dyDescent="0.3">
      <c r="B54" s="1"/>
      <c r="C54" s="62">
        <f t="shared" si="3"/>
        <v>49</v>
      </c>
      <c r="D54" s="62" t="str">
        <f>IR!A50</f>
        <v>INV-2026-049</v>
      </c>
      <c r="E54" s="62" t="str">
        <f>VLOOKUP(PR!$D54,IR!$A$2:$F$101,2)</f>
        <v>Alexander Harris</v>
      </c>
      <c r="F54" s="63">
        <f>VLOOKUP(PR!$D54,IR!$A$2:$F$101,3)</f>
        <v>46278</v>
      </c>
      <c r="G54" s="64">
        <f>VLOOKUP(PR!$D54,IR!$A$2:$F$101,4)</f>
        <v>305</v>
      </c>
      <c r="H54" s="64" t="str">
        <f>VLOOKUP(PR!$D54,IR!$A$2:$F$101,5)</f>
        <v>Stationery order</v>
      </c>
      <c r="I54" s="63" t="str">
        <f>VLOOKUP(PR!$D54,IR!$A$2:$F$101,6)</f>
        <v>PAY-7049</v>
      </c>
      <c r="J54" s="64"/>
      <c r="K54" s="63">
        <f>WORKDAY(Table3[[#This Row],[Date of invoice]],2)</f>
        <v>46280</v>
      </c>
      <c r="L54" s="64">
        <f>IF(PR!$J54=0,PR!$G54*50%,PR!$J54)</f>
        <v>152.5</v>
      </c>
      <c r="M54" s="65">
        <f t="shared" si="2"/>
        <v>152.5</v>
      </c>
      <c r="N54" s="65">
        <f ca="1">ARD!L60</f>
        <v>155.55000000000001</v>
      </c>
      <c r="O54" s="2"/>
      <c r="P54" s="2"/>
      <c r="Q54" s="3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2:32" x14ac:dyDescent="0.3">
      <c r="B55" s="1"/>
      <c r="C55" s="66">
        <f t="shared" si="3"/>
        <v>50</v>
      </c>
      <c r="D55" s="66" t="str">
        <f>IR!A51</f>
        <v>INV-2026-050</v>
      </c>
      <c r="E55" s="66" t="str">
        <f>VLOOKUP(PR!$D55,IR!$A$2:$F$101,2)</f>
        <v>Matilda Martin</v>
      </c>
      <c r="F55" s="67">
        <f>VLOOKUP(PR!$D55,IR!$A$2:$F$101,3)</f>
        <v>46281</v>
      </c>
      <c r="G55" s="68">
        <f>VLOOKUP(PR!$D55,IR!$A$2:$F$101,4)</f>
        <v>1240</v>
      </c>
      <c r="H55" s="68" t="str">
        <f>VLOOKUP(PR!$D55,IR!$A$2:$F$101,5)</f>
        <v>Training services</v>
      </c>
      <c r="I55" s="67" t="str">
        <f>VLOOKUP(PR!$D55,IR!$A$2:$F$101,6)</f>
        <v>PAY-7050</v>
      </c>
      <c r="J55" s="68">
        <v>1240</v>
      </c>
      <c r="K55" s="67">
        <f>WORKDAY(Table3[[#This Row],[Date of invoice]],2)</f>
        <v>46283</v>
      </c>
      <c r="L55" s="68">
        <f>IF(PR!$J55=0,PR!$G55*50%,PR!$J55)</f>
        <v>1240</v>
      </c>
      <c r="M55" s="69" t="str">
        <f t="shared" si="2"/>
        <v>Paid All</v>
      </c>
      <c r="N55" s="69">
        <f ca="1">ARD!L61</f>
        <v>1240</v>
      </c>
      <c r="O55" s="2"/>
      <c r="P55" s="2"/>
      <c r="Q55" s="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2:32" x14ac:dyDescent="0.3">
      <c r="B56" s="1"/>
      <c r="C56" s="62">
        <f t="shared" si="3"/>
        <v>51</v>
      </c>
      <c r="D56" s="62" t="str">
        <f>IR!A52</f>
        <v>INV-2026-051</v>
      </c>
      <c r="E56" s="62" t="str">
        <f>VLOOKUP(PR!$D56,IR!$A$2:$F$101,2)</f>
        <v>Sebastian Moore</v>
      </c>
      <c r="F56" s="63">
        <f>VLOOKUP(PR!$D56,IR!$A$2:$F$101,3)</f>
        <v>46284</v>
      </c>
      <c r="G56" s="64">
        <f>VLOOKUP(PR!$D56,IR!$A$2:$F$101,4)</f>
        <v>890.5</v>
      </c>
      <c r="H56" s="64" t="str">
        <f>VLOOKUP(PR!$D56,IR!$A$2:$F$101,5)</f>
        <v>Office supplies</v>
      </c>
      <c r="I56" s="63" t="str">
        <f>VLOOKUP(PR!$D56,IR!$A$2:$F$101,6)</f>
        <v>PAY-7051</v>
      </c>
      <c r="J56" s="64"/>
      <c r="K56" s="63">
        <f>WORKDAY(Table3[[#This Row],[Date of invoice]],2)</f>
        <v>46287</v>
      </c>
      <c r="L56" s="64">
        <f>IF(PR!$J56=0,PR!$G56*50%,PR!$J56)</f>
        <v>445.25</v>
      </c>
      <c r="M56" s="65">
        <f t="shared" si="2"/>
        <v>445.25</v>
      </c>
      <c r="N56" s="65">
        <f ca="1">ARD!L62</f>
        <v>445.25</v>
      </c>
      <c r="O56" s="2"/>
      <c r="P56" s="2"/>
      <c r="Q56" s="3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2:32" x14ac:dyDescent="0.3">
      <c r="B57" s="1"/>
      <c r="C57" s="66">
        <f t="shared" si="3"/>
        <v>52</v>
      </c>
      <c r="D57" s="66" t="str">
        <f>IR!A53</f>
        <v>INV-2026-052</v>
      </c>
      <c r="E57" s="66" t="str">
        <f>VLOOKUP(PR!$D57,IR!$A$2:$F$101,2)</f>
        <v>Harper Taylor</v>
      </c>
      <c r="F57" s="67">
        <f>VLOOKUP(PR!$D57,IR!$A$2:$F$101,3)</f>
        <v>46288</v>
      </c>
      <c r="G57" s="68">
        <f>VLOOKUP(PR!$D57,IR!$A$2:$F$101,4)</f>
        <v>2150</v>
      </c>
      <c r="H57" s="68" t="str">
        <f>VLOOKUP(PR!$D57,IR!$A$2:$F$101,5)</f>
        <v>Consulting services</v>
      </c>
      <c r="I57" s="67" t="str">
        <f>VLOOKUP(PR!$D57,IR!$A$2:$F$101,6)</f>
        <v>PAY-7052</v>
      </c>
      <c r="J57" s="68"/>
      <c r="K57" s="67">
        <f>WORKDAY(Table3[[#This Row],[Date of invoice]],2)</f>
        <v>46290</v>
      </c>
      <c r="L57" s="68">
        <f>IF(PR!$J57=0,PR!$G57*50%,PR!$J57)</f>
        <v>1075</v>
      </c>
      <c r="M57" s="69">
        <f t="shared" si="2"/>
        <v>1075</v>
      </c>
      <c r="N57" s="69">
        <f ca="1">ARD!L63</f>
        <v>1075</v>
      </c>
      <c r="O57" s="2"/>
      <c r="P57" s="2"/>
      <c r="Q57" s="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2:32" x14ac:dyDescent="0.3">
      <c r="B58" s="1"/>
      <c r="C58" s="62">
        <f t="shared" si="3"/>
        <v>53</v>
      </c>
      <c r="D58" s="62" t="str">
        <f>IR!A54</f>
        <v>INV-2026-053</v>
      </c>
      <c r="E58" s="62" t="str">
        <f>VLOOKUP(PR!$D58,IR!$A$2:$F$101,2)</f>
        <v>Dylan Anderson</v>
      </c>
      <c r="F58" s="63">
        <f>VLOOKUP(PR!$D58,IR!$A$2:$F$101,3)</f>
        <v>46291</v>
      </c>
      <c r="G58" s="64">
        <f>VLOOKUP(PR!$D58,IR!$A$2:$F$101,4)</f>
        <v>475.25</v>
      </c>
      <c r="H58" s="64" t="str">
        <f>VLOOKUP(PR!$D58,IR!$A$2:$F$101,5)</f>
        <v>Equipment purchase</v>
      </c>
      <c r="I58" s="63" t="str">
        <f>VLOOKUP(PR!$D58,IR!$A$2:$F$101,6)</f>
        <v>PAY-7053</v>
      </c>
      <c r="J58" s="64"/>
      <c r="K58" s="63">
        <f>WORKDAY(Table3[[#This Row],[Date of invoice]],2)</f>
        <v>46294</v>
      </c>
      <c r="L58" s="64">
        <f>IF(PR!$J58=0,PR!$G58*50%,PR!$J58)</f>
        <v>237.625</v>
      </c>
      <c r="M58" s="65">
        <f t="shared" si="2"/>
        <v>237.625</v>
      </c>
      <c r="N58" s="65">
        <f ca="1">ARD!L64</f>
        <v>237.625</v>
      </c>
      <c r="O58" s="2"/>
      <c r="P58" s="2"/>
      <c r="Q58" s="3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2:32" x14ac:dyDescent="0.3">
      <c r="B59" s="1"/>
      <c r="C59" s="66">
        <f t="shared" si="3"/>
        <v>54</v>
      </c>
      <c r="D59" s="66" t="str">
        <f>IR!A55</f>
        <v>INV-2026-054</v>
      </c>
      <c r="E59" s="66" t="str">
        <f>VLOOKUP(PR!$D59,IR!$A$2:$F$101,2)</f>
        <v>Violet Thomas</v>
      </c>
      <c r="F59" s="67">
        <f>VLOOKUP(PR!$D59,IR!$A$2:$F$101,3)</f>
        <v>46264</v>
      </c>
      <c r="G59" s="68">
        <f>VLOOKUP(PR!$D59,IR!$A$2:$F$101,4)</f>
        <v>1375</v>
      </c>
      <c r="H59" s="68" t="str">
        <f>VLOOKUP(PR!$D59,IR!$A$2:$F$101,5)</f>
        <v>Monthly subscription</v>
      </c>
      <c r="I59" s="67" t="str">
        <f>VLOOKUP(PR!$D59,IR!$A$2:$F$101,6)</f>
        <v>PAY-7054</v>
      </c>
      <c r="J59" s="68"/>
      <c r="K59" s="67">
        <f>WORKDAY(Table3[[#This Row],[Date of invoice]],2)</f>
        <v>46266</v>
      </c>
      <c r="L59" s="68">
        <f>IF(PR!$J59=0,PR!$G59*50%,PR!$J59)</f>
        <v>687.5</v>
      </c>
      <c r="M59" s="69">
        <f t="shared" si="2"/>
        <v>687.5</v>
      </c>
      <c r="N59" s="69">
        <f ca="1">ARD!L65</f>
        <v>763.125</v>
      </c>
      <c r="O59" s="2"/>
      <c r="P59" s="2"/>
      <c r="Q59" s="3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2:32" x14ac:dyDescent="0.3">
      <c r="B60" s="1"/>
      <c r="C60" s="62">
        <f t="shared" si="3"/>
        <v>55</v>
      </c>
      <c r="D60" s="62" t="str">
        <f>IR!A56</f>
        <v>INV-2026-055</v>
      </c>
      <c r="E60" s="62" t="str">
        <f>VLOOKUP(PR!$D60,IR!$A$2:$F$101,2)</f>
        <v>Adam Jackson</v>
      </c>
      <c r="F60" s="63">
        <f>VLOOKUP(PR!$D60,IR!$A$2:$F$101,3)</f>
        <v>46271</v>
      </c>
      <c r="G60" s="64">
        <f>VLOOKUP(PR!$D60,IR!$A$2:$F$101,4)</f>
        <v>590</v>
      </c>
      <c r="H60" s="64" t="str">
        <f>VLOOKUP(PR!$D60,IR!$A$2:$F$101,5)</f>
        <v>Project delivery</v>
      </c>
      <c r="I60" s="63" t="str">
        <f>VLOOKUP(PR!$D60,IR!$A$2:$F$101,6)</f>
        <v>PAY-7055</v>
      </c>
      <c r="J60" s="64"/>
      <c r="K60" s="63">
        <f>WORKDAY(Table3[[#This Row],[Date of invoice]],2)</f>
        <v>46273</v>
      </c>
      <c r="L60" s="64">
        <f>IF(PR!$J60=0,PR!$G60*50%,PR!$J60)</f>
        <v>295</v>
      </c>
      <c r="M60" s="65">
        <f t="shared" si="2"/>
        <v>295</v>
      </c>
      <c r="N60" s="65">
        <f ca="1">ARD!L66</f>
        <v>309.75</v>
      </c>
      <c r="O60" s="2"/>
      <c r="P60" s="2"/>
      <c r="Q60" s="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2:32" x14ac:dyDescent="0.3">
      <c r="B61" s="1"/>
      <c r="C61" s="66">
        <f t="shared" si="3"/>
        <v>56</v>
      </c>
      <c r="D61" s="66" t="str">
        <f>IR!A57</f>
        <v>INV-2026-056</v>
      </c>
      <c r="E61" s="66" t="str">
        <f>VLOOKUP(PR!$D61,IR!$A$2:$F$101,2)</f>
        <v>Esme White</v>
      </c>
      <c r="F61" s="67">
        <f>VLOOKUP(PR!$D61,IR!$A$2:$F$101,3)</f>
        <v>46274</v>
      </c>
      <c r="G61" s="68">
        <f>VLOOKUP(PR!$D61,IR!$A$2:$F$101,4)</f>
        <v>1920.5</v>
      </c>
      <c r="H61" s="68" t="str">
        <f>VLOOKUP(PR!$D61,IR!$A$2:$F$101,5)</f>
        <v>Marketing services</v>
      </c>
      <c r="I61" s="67" t="str">
        <f>VLOOKUP(PR!$D61,IR!$A$2:$F$101,6)</f>
        <v>PAY-7056</v>
      </c>
      <c r="J61" s="68"/>
      <c r="K61" s="67">
        <f>WORKDAY(Table3[[#This Row],[Date of invoice]],2)</f>
        <v>46276</v>
      </c>
      <c r="L61" s="68">
        <f>IF(PR!$J61=0,PR!$G61*50%,PR!$J61)</f>
        <v>960.25</v>
      </c>
      <c r="M61" s="69">
        <f t="shared" si="2"/>
        <v>960.25</v>
      </c>
      <c r="N61" s="69">
        <f ca="1">ARD!L67</f>
        <v>1008.2625</v>
      </c>
      <c r="O61" s="2"/>
      <c r="P61" s="2"/>
      <c r="Q61" s="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2:32" x14ac:dyDescent="0.3">
      <c r="B62" s="1"/>
      <c r="C62" s="62">
        <f t="shared" si="3"/>
        <v>57</v>
      </c>
      <c r="D62" s="62" t="str">
        <f>IR!A58</f>
        <v>INV-2026-057</v>
      </c>
      <c r="E62" s="62" t="str">
        <f>VLOOKUP(PR!$D62,IR!$A$2:$F$101,2)</f>
        <v>Ryan Harris</v>
      </c>
      <c r="F62" s="63">
        <f>VLOOKUP(PR!$D62,IR!$A$2:$F$101,3)</f>
        <v>46280</v>
      </c>
      <c r="G62" s="64">
        <f>VLOOKUP(PR!$D62,IR!$A$2:$F$101,4)</f>
        <v>345.75</v>
      </c>
      <c r="H62" s="64" t="str">
        <f>VLOOKUP(PR!$D62,IR!$A$2:$F$101,5)</f>
        <v>Maintenance services</v>
      </c>
      <c r="I62" s="63" t="str">
        <f>VLOOKUP(PR!$D62,IR!$A$2:$F$101,6)</f>
        <v>PAY-7057</v>
      </c>
      <c r="J62" s="64"/>
      <c r="K62" s="63">
        <f>WORKDAY(Table3[[#This Row],[Date of invoice]],2)</f>
        <v>46282</v>
      </c>
      <c r="L62" s="64">
        <f>IF(PR!$J62=0,PR!$G62*50%,PR!$J62)</f>
        <v>172.875</v>
      </c>
      <c r="M62" s="65">
        <f t="shared" si="2"/>
        <v>172.875</v>
      </c>
      <c r="N62" s="65">
        <f ca="1">ARD!L68</f>
        <v>176.33250000000001</v>
      </c>
      <c r="O62" s="2"/>
      <c r="P62" s="2"/>
      <c r="Q62" s="3"/>
    </row>
    <row r="63" spans="2:32" x14ac:dyDescent="0.3">
      <c r="B63" s="1"/>
      <c r="C63" s="66">
        <f t="shared" si="3"/>
        <v>58</v>
      </c>
      <c r="D63" s="66" t="str">
        <f>IR!A59</f>
        <v>INV-2026-058</v>
      </c>
      <c r="E63" s="66" t="str">
        <f>VLOOKUP(PR!$D63,IR!$A$2:$F$101,2)</f>
        <v>Willow Martin</v>
      </c>
      <c r="F63" s="67">
        <f>VLOOKUP(PR!$D63,IR!$A$2:$F$101,3)</f>
        <v>46285</v>
      </c>
      <c r="G63" s="68">
        <f>VLOOKUP(PR!$D63,IR!$A$2:$F$101,4)</f>
        <v>1080</v>
      </c>
      <c r="H63" s="68" t="str">
        <f>VLOOKUP(PR!$D63,IR!$A$2:$F$101,5)</f>
        <v>Software licence</v>
      </c>
      <c r="I63" s="67" t="str">
        <f>VLOOKUP(PR!$D63,IR!$A$2:$F$101,6)</f>
        <v>PAY-7058</v>
      </c>
      <c r="J63" s="68"/>
      <c r="K63" s="67">
        <f>WORKDAY(Table3[[#This Row],[Date of invoice]],2)</f>
        <v>46287</v>
      </c>
      <c r="L63" s="68">
        <f>IF(PR!$J63=0,PR!$G63*50%,PR!$J63)</f>
        <v>540</v>
      </c>
      <c r="M63" s="69">
        <f t="shared" si="2"/>
        <v>540</v>
      </c>
      <c r="N63" s="69">
        <f ca="1">ARD!L69</f>
        <v>540</v>
      </c>
      <c r="O63" s="2"/>
      <c r="P63" s="2"/>
      <c r="Q63" s="3"/>
    </row>
    <row r="64" spans="2:32" x14ac:dyDescent="0.3">
      <c r="B64" s="1"/>
      <c r="C64" s="62">
        <f t="shared" si="3"/>
        <v>59</v>
      </c>
      <c r="D64" s="62" t="str">
        <f>IR!A60</f>
        <v>INV-2026-059</v>
      </c>
      <c r="E64" s="62" t="str">
        <f>VLOOKUP(PR!$D64,IR!$A$2:$F$101,2)</f>
        <v>Nathan Moore</v>
      </c>
      <c r="F64" s="63">
        <f>VLOOKUP(PR!$D64,IR!$A$2:$F$101,3)</f>
        <v>46290</v>
      </c>
      <c r="G64" s="64">
        <f>VLOOKUP(PR!$D64,IR!$A$2:$F$101,4)</f>
        <v>2420.25</v>
      </c>
      <c r="H64" s="64" t="str">
        <f>VLOOKUP(PR!$D64,IR!$A$2:$F$101,5)</f>
        <v>Stationery order</v>
      </c>
      <c r="I64" s="63" t="str">
        <f>VLOOKUP(PR!$D64,IR!$A$2:$F$101,6)</f>
        <v>PAY-7059</v>
      </c>
      <c r="J64" s="64"/>
      <c r="K64" s="63">
        <f>WORKDAY(Table3[[#This Row],[Date of invoice]],2)</f>
        <v>46294</v>
      </c>
      <c r="L64" s="64">
        <f>IF(PR!$J64=0,PR!$G64*50%,PR!$J64)</f>
        <v>1210.125</v>
      </c>
      <c r="M64" s="65">
        <f t="shared" si="2"/>
        <v>1210.125</v>
      </c>
      <c r="N64" s="65">
        <f ca="1">ARD!L70</f>
        <v>1210.125</v>
      </c>
      <c r="O64" s="2"/>
      <c r="P64" s="2"/>
      <c r="Q64" s="3"/>
    </row>
    <row r="65" spans="2:17" x14ac:dyDescent="0.3">
      <c r="B65" s="1"/>
      <c r="C65" s="66">
        <f t="shared" si="3"/>
        <v>60</v>
      </c>
      <c r="D65" s="66" t="str">
        <f>IR!A61</f>
        <v>INV-2026-060</v>
      </c>
      <c r="E65" s="66" t="str">
        <f>VLOOKUP(PR!$D65,IR!$A$2:$F$101,2)</f>
        <v>Luna Taylor</v>
      </c>
      <c r="F65" s="67">
        <f>VLOOKUP(PR!$D65,IR!$A$2:$F$101,3)</f>
        <v>46297</v>
      </c>
      <c r="G65" s="68">
        <f>VLOOKUP(PR!$D65,IR!$A$2:$F$101,4)</f>
        <v>695</v>
      </c>
      <c r="H65" s="68" t="str">
        <f>VLOOKUP(PR!$D65,IR!$A$2:$F$101,5)</f>
        <v>Training services</v>
      </c>
      <c r="I65" s="67" t="str">
        <f>VLOOKUP(PR!$D65,IR!$A$2:$F$101,6)</f>
        <v>PAY-7060</v>
      </c>
      <c r="J65" s="68"/>
      <c r="K65" s="67">
        <f>WORKDAY(Table3[[#This Row],[Date of invoice]],2)</f>
        <v>46301</v>
      </c>
      <c r="L65" s="68">
        <f>IF(PR!$J65=0,PR!$G65*50%,PR!$J65)</f>
        <v>347.5</v>
      </c>
      <c r="M65" s="69">
        <f t="shared" si="2"/>
        <v>347.5</v>
      </c>
      <c r="N65" s="69">
        <f ca="1">ARD!L71</f>
        <v>347.5</v>
      </c>
      <c r="O65" s="2"/>
      <c r="P65" s="2"/>
      <c r="Q65" s="3"/>
    </row>
    <row r="66" spans="2:17" x14ac:dyDescent="0.3">
      <c r="B66" s="1"/>
      <c r="C66" s="62">
        <f t="shared" si="3"/>
        <v>61</v>
      </c>
      <c r="D66" s="62" t="str">
        <f>IR!A62</f>
        <v>INV-2026-061</v>
      </c>
      <c r="E66" s="62" t="str">
        <f>VLOOKUP(PR!$D66,IR!$A$2:$F$101,2)</f>
        <v>Isaac Anderson</v>
      </c>
      <c r="F66" s="63">
        <f>VLOOKUP(PR!$D66,IR!$A$2:$F$101,3)</f>
        <v>46300</v>
      </c>
      <c r="G66" s="64">
        <f>VLOOKUP(PR!$D66,IR!$A$2:$F$101,4)</f>
        <v>1325.5</v>
      </c>
      <c r="H66" s="64" t="str">
        <f>VLOOKUP(PR!$D66,IR!$A$2:$F$101,5)</f>
        <v>Office supplies</v>
      </c>
      <c r="I66" s="63" t="str">
        <f>VLOOKUP(PR!$D66,IR!$A$2:$F$101,6)</f>
        <v>PAY-7061</v>
      </c>
      <c r="J66" s="64"/>
      <c r="K66" s="63">
        <f>WORKDAY(Table3[[#This Row],[Date of invoice]],2)</f>
        <v>46302</v>
      </c>
      <c r="L66" s="64">
        <f>IF(PR!$J66=0,PR!$G66*50%,PR!$J66)</f>
        <v>662.75</v>
      </c>
      <c r="M66" s="65">
        <f t="shared" si="2"/>
        <v>662.75</v>
      </c>
      <c r="N66" s="65">
        <f ca="1">ARD!L72</f>
        <v>662.75</v>
      </c>
      <c r="O66" s="2"/>
      <c r="P66" s="2"/>
      <c r="Q66" s="3"/>
    </row>
    <row r="67" spans="2:17" x14ac:dyDescent="0.3">
      <c r="B67" s="1"/>
      <c r="C67" s="66">
        <f t="shared" si="3"/>
        <v>62</v>
      </c>
      <c r="D67" s="66" t="str">
        <f>IR!A63</f>
        <v>INV-2026-062</v>
      </c>
      <c r="E67" s="66" t="str">
        <f>VLOOKUP(PR!$D67,IR!$A$2:$F$101,2)</f>
        <v>Erin Thomas</v>
      </c>
      <c r="F67" s="67">
        <f>VLOOKUP(PR!$D67,IR!$A$2:$F$101,3)</f>
        <v>46303</v>
      </c>
      <c r="G67" s="68">
        <f>VLOOKUP(PR!$D67,IR!$A$2:$F$101,4)</f>
        <v>550</v>
      </c>
      <c r="H67" s="68" t="str">
        <f>VLOOKUP(PR!$D67,IR!$A$2:$F$101,5)</f>
        <v>Consulting services</v>
      </c>
      <c r="I67" s="67" t="str">
        <f>VLOOKUP(PR!$D67,IR!$A$2:$F$101,6)</f>
        <v>PAY-7062</v>
      </c>
      <c r="J67" s="68"/>
      <c r="K67" s="67">
        <f>WORKDAY(Table3[[#This Row],[Date of invoice]],2)</f>
        <v>46307</v>
      </c>
      <c r="L67" s="68">
        <f>IF(PR!$J67=0,PR!$G67*50%,PR!$J67)</f>
        <v>275</v>
      </c>
      <c r="M67" s="69">
        <f t="shared" si="2"/>
        <v>275</v>
      </c>
      <c r="N67" s="69">
        <f ca="1">ARD!L73</f>
        <v>275</v>
      </c>
      <c r="O67" s="2"/>
      <c r="P67" s="2"/>
      <c r="Q67" s="3"/>
    </row>
    <row r="68" spans="2:17" x14ac:dyDescent="0.3">
      <c r="B68" s="1"/>
      <c r="C68" s="62">
        <f t="shared" si="3"/>
        <v>63</v>
      </c>
      <c r="D68" s="62" t="str">
        <f>IR!A64</f>
        <v>INV-2026-063</v>
      </c>
      <c r="E68" s="62" t="str">
        <f>VLOOKUP(PR!$D68,IR!$A$2:$F$101,2)</f>
        <v>Caleb Jackson</v>
      </c>
      <c r="F68" s="63">
        <f>VLOOKUP(PR!$D68,IR!$A$2:$F$101,3)</f>
        <v>46306</v>
      </c>
      <c r="G68" s="64">
        <f>VLOOKUP(PR!$D68,IR!$A$2:$F$101,4)</f>
        <v>2780.75</v>
      </c>
      <c r="H68" s="64" t="str">
        <f>VLOOKUP(PR!$D68,IR!$A$2:$F$101,5)</f>
        <v>Equipment purchase</v>
      </c>
      <c r="I68" s="63" t="str">
        <f>VLOOKUP(PR!$D68,IR!$A$2:$F$101,6)</f>
        <v>PAY-7063</v>
      </c>
      <c r="J68" s="64"/>
      <c r="K68" s="63">
        <f>WORKDAY(Table3[[#This Row],[Date of invoice]],2)</f>
        <v>46308</v>
      </c>
      <c r="L68" s="64">
        <f>IF(PR!$J68=0,PR!$G68*50%,PR!$J68)</f>
        <v>1390.375</v>
      </c>
      <c r="M68" s="65">
        <f t="shared" si="2"/>
        <v>1390.375</v>
      </c>
      <c r="N68" s="65">
        <f ca="1">ARD!L74</f>
        <v>1390.375</v>
      </c>
      <c r="O68" s="2"/>
      <c r="P68" s="2"/>
      <c r="Q68" s="3"/>
    </row>
    <row r="69" spans="2:17" x14ac:dyDescent="0.3">
      <c r="B69" s="1"/>
      <c r="C69" s="66">
        <f t="shared" si="3"/>
        <v>64</v>
      </c>
      <c r="D69" s="66" t="str">
        <f>IR!A65</f>
        <v>INV-2026-064</v>
      </c>
      <c r="E69" s="66" t="str">
        <f>VLOOKUP(PR!$D69,IR!$A$2:$F$101,2)</f>
        <v>Georgia White</v>
      </c>
      <c r="F69" s="67">
        <f>VLOOKUP(PR!$D69,IR!$A$2:$F$101,3)</f>
        <v>46309</v>
      </c>
      <c r="G69" s="68">
        <f>VLOOKUP(PR!$D69,IR!$A$2:$F$101,4)</f>
        <v>810</v>
      </c>
      <c r="H69" s="68" t="str">
        <f>VLOOKUP(PR!$D69,IR!$A$2:$F$101,5)</f>
        <v>Monthly subscription</v>
      </c>
      <c r="I69" s="67" t="str">
        <f>VLOOKUP(PR!$D69,IR!$A$2:$F$101,6)</f>
        <v>PAY-7064</v>
      </c>
      <c r="J69" s="68"/>
      <c r="K69" s="67">
        <f>WORKDAY(Table3[[#This Row],[Date of invoice]],2)</f>
        <v>46311</v>
      </c>
      <c r="L69" s="68">
        <f>IF(PR!$J69=0,PR!$G69*50%,PR!$J69)</f>
        <v>405</v>
      </c>
      <c r="M69" s="69">
        <f t="shared" si="2"/>
        <v>405</v>
      </c>
      <c r="N69" s="69">
        <f ca="1">ARD!L75</f>
        <v>405</v>
      </c>
      <c r="O69" s="2"/>
      <c r="P69" s="2"/>
      <c r="Q69" s="3"/>
    </row>
    <row r="70" spans="2:17" x14ac:dyDescent="0.3">
      <c r="B70" s="1"/>
      <c r="C70" s="62">
        <f t="shared" si="3"/>
        <v>65</v>
      </c>
      <c r="D70" s="62" t="str">
        <f>IR!A66</f>
        <v>INV-2026-065</v>
      </c>
      <c r="E70" s="62" t="str">
        <f>VLOOKUP(PR!$D70,IR!$A$2:$F$101,2)</f>
        <v>Aaron Harris</v>
      </c>
      <c r="F70" s="63">
        <f>VLOOKUP(PR!$D70,IR!$A$2:$F$101,3)</f>
        <v>46311</v>
      </c>
      <c r="G70" s="64">
        <f>VLOOKUP(PR!$D70,IR!$A$2:$F$101,4)</f>
        <v>1465.25</v>
      </c>
      <c r="H70" s="64" t="str">
        <f>VLOOKUP(PR!$D70,IR!$A$2:$F$101,5)</f>
        <v>Project delivery</v>
      </c>
      <c r="I70" s="63" t="str">
        <f>VLOOKUP(PR!$D70,IR!$A$2:$F$101,6)</f>
        <v>PAY-7065</v>
      </c>
      <c r="J70" s="64"/>
      <c r="K70" s="63">
        <f>WORKDAY(Table3[[#This Row],[Date of invoice]],2)</f>
        <v>46315</v>
      </c>
      <c r="L70" s="64">
        <f>IF(PR!$J70=0,PR!$G70*50%,PR!$J70)</f>
        <v>732.625</v>
      </c>
      <c r="M70" s="65">
        <f t="shared" ref="M70:M101" si="4">IF(L70=G70,"Paid All",G70-L70)</f>
        <v>732.625</v>
      </c>
      <c r="N70" s="65">
        <f ca="1">ARD!L76</f>
        <v>732.625</v>
      </c>
      <c r="O70" s="2"/>
      <c r="P70" s="2"/>
      <c r="Q70" s="3"/>
    </row>
    <row r="71" spans="2:17" x14ac:dyDescent="0.3">
      <c r="B71" s="1"/>
      <c r="C71" s="66">
        <f t="shared" ref="C71:C102" si="5">C70+1</f>
        <v>66</v>
      </c>
      <c r="D71" s="66" t="str">
        <f>IR!A67</f>
        <v>INV-2026-066</v>
      </c>
      <c r="E71" s="66" t="str">
        <f>VLOOKUP(PR!$D71,IR!$A$2:$F$101,2)</f>
        <v>Holly Martin</v>
      </c>
      <c r="F71" s="67">
        <f>VLOOKUP(PR!$D71,IR!$A$2:$F$101,3)</f>
        <v>46251</v>
      </c>
      <c r="G71" s="68">
        <f>VLOOKUP(PR!$D71,IR!$A$2:$F$101,4)</f>
        <v>430</v>
      </c>
      <c r="H71" s="68" t="str">
        <f>VLOOKUP(PR!$D71,IR!$A$2:$F$101,5)</f>
        <v>Marketing services</v>
      </c>
      <c r="I71" s="67" t="str">
        <f>VLOOKUP(PR!$D71,IR!$A$2:$F$101,6)</f>
        <v>PAY-7066</v>
      </c>
      <c r="J71" s="68"/>
      <c r="K71" s="67">
        <f>WORKDAY(Table3[[#This Row],[Date of invoice]],2)</f>
        <v>46253</v>
      </c>
      <c r="L71" s="68">
        <f>IF(PR!$J71=0,PR!$G71*50%,PR!$J71)</f>
        <v>215</v>
      </c>
      <c r="M71" s="69">
        <f t="shared" si="4"/>
        <v>215</v>
      </c>
      <c r="N71" s="69">
        <f ca="1">ARD!L77</f>
        <v>251.55</v>
      </c>
      <c r="O71" s="2"/>
      <c r="P71" s="2"/>
      <c r="Q71" s="3"/>
    </row>
    <row r="72" spans="2:17" x14ac:dyDescent="0.3">
      <c r="B72" s="1"/>
      <c r="C72" s="62">
        <f t="shared" si="5"/>
        <v>67</v>
      </c>
      <c r="D72" s="62" t="str">
        <f>IR!A68</f>
        <v>INV-2026-067</v>
      </c>
      <c r="E72" s="62" t="str">
        <f>VLOOKUP(PR!$D72,IR!$A$2:$F$101,2)</f>
        <v>Connor Moore</v>
      </c>
      <c r="F72" s="63">
        <f>VLOOKUP(PR!$D72,IR!$A$2:$F$101,3)</f>
        <v>46255</v>
      </c>
      <c r="G72" s="64">
        <f>VLOOKUP(PR!$D72,IR!$A$2:$F$101,4)</f>
        <v>1020.5</v>
      </c>
      <c r="H72" s="64" t="str">
        <f>VLOOKUP(PR!$D72,IR!$A$2:$F$101,5)</f>
        <v>Maintenance services</v>
      </c>
      <c r="I72" s="63" t="str">
        <f>VLOOKUP(PR!$D72,IR!$A$2:$F$101,6)</f>
        <v>PAY-7067</v>
      </c>
      <c r="J72" s="64"/>
      <c r="K72" s="63">
        <f>WORKDAY(Table3[[#This Row],[Date of invoice]],2)</f>
        <v>46259</v>
      </c>
      <c r="L72" s="64">
        <f>IF(PR!$J72=0,PR!$G72*50%,PR!$J72)</f>
        <v>510.25</v>
      </c>
      <c r="M72" s="65">
        <f t="shared" si="4"/>
        <v>510.25</v>
      </c>
      <c r="N72" s="65">
        <f ca="1">ARD!L78</f>
        <v>596.99250000000006</v>
      </c>
      <c r="O72" s="2"/>
      <c r="P72" s="2"/>
      <c r="Q72" s="3"/>
    </row>
    <row r="73" spans="2:17" x14ac:dyDescent="0.3">
      <c r="B73" s="1"/>
      <c r="C73" s="66">
        <f t="shared" si="5"/>
        <v>68</v>
      </c>
      <c r="D73" s="66" t="str">
        <f>IR!A69</f>
        <v>INV-2026-068</v>
      </c>
      <c r="E73" s="66" t="str">
        <f>VLOOKUP(PR!$D73,IR!$A$2:$F$101,2)</f>
        <v>Megan Taylor</v>
      </c>
      <c r="F73" s="67">
        <f>VLOOKUP(PR!$D73,IR!$A$2:$F$101,3)</f>
        <v>46260</v>
      </c>
      <c r="G73" s="68">
        <f>VLOOKUP(PR!$D73,IR!$A$2:$F$101,4)</f>
        <v>1735</v>
      </c>
      <c r="H73" s="68" t="str">
        <f>VLOOKUP(PR!$D73,IR!$A$2:$F$101,5)</f>
        <v>Software licence</v>
      </c>
      <c r="I73" s="67" t="str">
        <f>VLOOKUP(PR!$D73,IR!$A$2:$F$101,6)</f>
        <v>PAY-7068</v>
      </c>
      <c r="J73" s="68"/>
      <c r="K73" s="67">
        <f>WORKDAY(Table3[[#This Row],[Date of invoice]],2)</f>
        <v>46262</v>
      </c>
      <c r="L73" s="68">
        <f>IF(PR!$J73=0,PR!$G73*50%,PR!$J73)</f>
        <v>867.5</v>
      </c>
      <c r="M73" s="69">
        <f t="shared" si="4"/>
        <v>867.5</v>
      </c>
      <c r="N73" s="69">
        <f ca="1">ARD!L79</f>
        <v>988.95</v>
      </c>
      <c r="O73" s="2"/>
      <c r="P73" s="2"/>
      <c r="Q73" s="3"/>
    </row>
    <row r="74" spans="2:17" x14ac:dyDescent="0.3">
      <c r="B74" s="1"/>
      <c r="C74" s="62">
        <f t="shared" si="5"/>
        <v>69</v>
      </c>
      <c r="D74" s="62" t="str">
        <f>IR!A70</f>
        <v>INV-2026-069</v>
      </c>
      <c r="E74" s="62" t="str">
        <f>VLOOKUP(PR!$D74,IR!$A$2:$F$101,2)</f>
        <v>Reuben Anderson</v>
      </c>
      <c r="F74" s="63">
        <f>VLOOKUP(PR!$D74,IR!$A$2:$F$101,3)</f>
        <v>46265</v>
      </c>
      <c r="G74" s="64">
        <f>VLOOKUP(PR!$D74,IR!$A$2:$F$101,4)</f>
        <v>290.75</v>
      </c>
      <c r="H74" s="64" t="str">
        <f>VLOOKUP(PR!$D74,IR!$A$2:$F$101,5)</f>
        <v>Stationery order</v>
      </c>
      <c r="I74" s="63" t="str">
        <f>VLOOKUP(PR!$D74,IR!$A$2:$F$101,6)</f>
        <v>PAY-7069</v>
      </c>
      <c r="J74" s="64"/>
      <c r="K74" s="63">
        <f>WORKDAY(Table3[[#This Row],[Date of invoice]],2)</f>
        <v>46267</v>
      </c>
      <c r="L74" s="64">
        <f>IF(PR!$J74=0,PR!$G74*50%,PR!$J74)</f>
        <v>145.375</v>
      </c>
      <c r="M74" s="65">
        <f t="shared" si="4"/>
        <v>145.375</v>
      </c>
      <c r="N74" s="65">
        <f ca="1">ARD!L80</f>
        <v>161.36625000000001</v>
      </c>
      <c r="O74" s="2"/>
      <c r="P74" s="2"/>
      <c r="Q74" s="3"/>
    </row>
    <row r="75" spans="2:17" x14ac:dyDescent="0.3">
      <c r="B75" s="1"/>
      <c r="C75" s="66">
        <f t="shared" si="5"/>
        <v>70</v>
      </c>
      <c r="D75" s="66" t="str">
        <f>IR!A71</f>
        <v>INV-2026-070</v>
      </c>
      <c r="E75" s="66" t="str">
        <f>VLOOKUP(PR!$D75,IR!$A$2:$F$101,2)</f>
        <v>Imogen Thomas</v>
      </c>
      <c r="F75" s="67">
        <f>VLOOKUP(PR!$D75,IR!$A$2:$F$101,3)</f>
        <v>46266</v>
      </c>
      <c r="G75" s="68">
        <f>VLOOKUP(PR!$D75,IR!$A$2:$F$101,4)</f>
        <v>1190</v>
      </c>
      <c r="H75" s="68" t="str">
        <f>VLOOKUP(PR!$D75,IR!$A$2:$F$101,5)</f>
        <v>Training services</v>
      </c>
      <c r="I75" s="67" t="str">
        <f>VLOOKUP(PR!$D75,IR!$A$2:$F$101,6)</f>
        <v>PAY-7070</v>
      </c>
      <c r="J75" s="68"/>
      <c r="K75" s="67">
        <f>WORKDAY(Table3[[#This Row],[Date of invoice]],2)</f>
        <v>46268</v>
      </c>
      <c r="L75" s="68">
        <f>IF(PR!$J75=0,PR!$G75*50%,PR!$J75)</f>
        <v>595</v>
      </c>
      <c r="M75" s="69">
        <f t="shared" si="4"/>
        <v>595</v>
      </c>
      <c r="N75" s="69">
        <f ca="1">ARD!L81</f>
        <v>642.6</v>
      </c>
      <c r="O75" s="2"/>
      <c r="P75" s="2"/>
      <c r="Q75" s="3"/>
    </row>
    <row r="76" spans="2:17" x14ac:dyDescent="0.3">
      <c r="B76" s="1"/>
      <c r="C76" s="62">
        <f t="shared" si="5"/>
        <v>71</v>
      </c>
      <c r="D76" s="62" t="str">
        <f>IR!A72</f>
        <v>INV-2026-071</v>
      </c>
      <c r="E76" s="62" t="str">
        <f>VLOOKUP(PR!$D76,IR!$A$2:$F$101,2)</f>
        <v>David Jackson</v>
      </c>
      <c r="F76" s="63">
        <f>VLOOKUP(PR!$D76,IR!$A$2:$F$101,3)</f>
        <v>46271</v>
      </c>
      <c r="G76" s="64">
        <f>VLOOKUP(PR!$D76,IR!$A$2:$F$101,4)</f>
        <v>745.5</v>
      </c>
      <c r="H76" s="64" t="str">
        <f>VLOOKUP(PR!$D76,IR!$A$2:$F$101,5)</f>
        <v>Office supplies</v>
      </c>
      <c r="I76" s="63" t="str">
        <f>VLOOKUP(PR!$D76,IR!$A$2:$F$101,6)</f>
        <v>PAY-7071</v>
      </c>
      <c r="J76" s="64"/>
      <c r="K76" s="63">
        <f>WORKDAY(Table3[[#This Row],[Date of invoice]],2)</f>
        <v>46273</v>
      </c>
      <c r="L76" s="64">
        <f>IF(PR!$J76=0,PR!$G76*50%,PR!$J76)</f>
        <v>372.75</v>
      </c>
      <c r="M76" s="65">
        <f t="shared" si="4"/>
        <v>372.75</v>
      </c>
      <c r="N76" s="65">
        <f ca="1">ARD!L82</f>
        <v>391.38749999999999</v>
      </c>
      <c r="O76" s="2"/>
      <c r="P76" s="2"/>
      <c r="Q76" s="3"/>
    </row>
    <row r="77" spans="2:17" x14ac:dyDescent="0.3">
      <c r="B77" s="1"/>
      <c r="C77" s="66">
        <f t="shared" si="5"/>
        <v>72</v>
      </c>
      <c r="D77" s="66" t="str">
        <f>IR!A73</f>
        <v>INV-2026-072</v>
      </c>
      <c r="E77" s="66" t="str">
        <f>VLOOKUP(PR!$D77,IR!$A$2:$F$101,2)</f>
        <v>Arabella White</v>
      </c>
      <c r="F77" s="67">
        <f>VLOOKUP(PR!$D77,IR!$A$2:$F$101,3)</f>
        <v>46275</v>
      </c>
      <c r="G77" s="68">
        <f>VLOOKUP(PR!$D77,IR!$A$2:$F$101,4)</f>
        <v>2280</v>
      </c>
      <c r="H77" s="68" t="str">
        <f>VLOOKUP(PR!$D77,IR!$A$2:$F$101,5)</f>
        <v>Consulting services</v>
      </c>
      <c r="I77" s="67" t="str">
        <f>VLOOKUP(PR!$D77,IR!$A$2:$F$101,6)</f>
        <v>PAY-7072</v>
      </c>
      <c r="J77" s="68"/>
      <c r="K77" s="67">
        <f>WORKDAY(Table3[[#This Row],[Date of invoice]],2)</f>
        <v>46279</v>
      </c>
      <c r="L77" s="68">
        <f>IF(PR!$J77=0,PR!$G77*50%,PR!$J77)</f>
        <v>1140</v>
      </c>
      <c r="M77" s="69">
        <f t="shared" si="4"/>
        <v>1140</v>
      </c>
      <c r="N77" s="69">
        <f ca="1">ARD!L83</f>
        <v>1197</v>
      </c>
      <c r="O77" s="2"/>
      <c r="P77" s="2"/>
      <c r="Q77" s="3"/>
    </row>
    <row r="78" spans="2:17" x14ac:dyDescent="0.3">
      <c r="B78" s="1"/>
      <c r="C78" s="62">
        <f t="shared" si="5"/>
        <v>73</v>
      </c>
      <c r="D78" s="62" t="str">
        <f>IR!A74</f>
        <v>INV-2026-073</v>
      </c>
      <c r="E78" s="62" t="str">
        <f>VLOOKUP(PR!$D78,IR!$A$2:$F$101,2)</f>
        <v>Michael Harris</v>
      </c>
      <c r="F78" s="63">
        <f>VLOOKUP(PR!$D78,IR!$A$2:$F$101,3)</f>
        <v>46279</v>
      </c>
      <c r="G78" s="64">
        <f>VLOOKUP(PR!$D78,IR!$A$2:$F$101,4)</f>
        <v>615.25</v>
      </c>
      <c r="H78" s="64" t="str">
        <f>VLOOKUP(PR!$D78,IR!$A$2:$F$101,5)</f>
        <v>Equipment purchase</v>
      </c>
      <c r="I78" s="63" t="str">
        <f>VLOOKUP(PR!$D78,IR!$A$2:$F$101,6)</f>
        <v>PAY-7073</v>
      </c>
      <c r="J78" s="64"/>
      <c r="K78" s="63">
        <f>WORKDAY(Table3[[#This Row],[Date of invoice]],2)</f>
        <v>46281</v>
      </c>
      <c r="L78" s="64">
        <f>IF(PR!$J78=0,PR!$G78*50%,PR!$J78)</f>
        <v>307.625</v>
      </c>
      <c r="M78" s="65">
        <f t="shared" si="4"/>
        <v>307.625</v>
      </c>
      <c r="N78" s="65">
        <f ca="1">ARD!L84</f>
        <v>313.77749999999997</v>
      </c>
      <c r="O78" s="2"/>
      <c r="P78" s="2"/>
      <c r="Q78" s="3"/>
    </row>
    <row r="79" spans="2:17" x14ac:dyDescent="0.3">
      <c r="B79" s="1"/>
      <c r="C79" s="66">
        <f t="shared" si="5"/>
        <v>74</v>
      </c>
      <c r="D79" s="66" t="str">
        <f>IR!A75</f>
        <v>INV-2026-074</v>
      </c>
      <c r="E79" s="66" t="str">
        <f>VLOOKUP(PR!$D79,IR!$A$2:$F$101,2)</f>
        <v>Eliza Martin</v>
      </c>
      <c r="F79" s="67">
        <f>VLOOKUP(PR!$D79,IR!$A$2:$F$101,3)</f>
        <v>46283</v>
      </c>
      <c r="G79" s="68">
        <f>VLOOKUP(PR!$D79,IR!$A$2:$F$101,4)</f>
        <v>1410</v>
      </c>
      <c r="H79" s="68" t="str">
        <f>VLOOKUP(PR!$D79,IR!$A$2:$F$101,5)</f>
        <v>Monthly subscription</v>
      </c>
      <c r="I79" s="67" t="str">
        <f>VLOOKUP(PR!$D79,IR!$A$2:$F$101,6)</f>
        <v>PAY-7074</v>
      </c>
      <c r="J79" s="68">
        <v>1410</v>
      </c>
      <c r="K79" s="67">
        <f>WORKDAY(Table3[[#This Row],[Date of invoice]],2)</f>
        <v>46287</v>
      </c>
      <c r="L79" s="68">
        <f>IF(PR!$J79=0,PR!$G79*50%,PR!$J79)</f>
        <v>1410</v>
      </c>
      <c r="M79" s="69" t="str">
        <f t="shared" si="4"/>
        <v>Paid All</v>
      </c>
      <c r="N79" s="69">
        <f ca="1">ARD!L85</f>
        <v>1410</v>
      </c>
      <c r="O79" s="2"/>
      <c r="P79" s="2"/>
      <c r="Q79" s="3"/>
    </row>
    <row r="80" spans="2:17" x14ac:dyDescent="0.3">
      <c r="B80" s="1"/>
      <c r="C80" s="62">
        <f t="shared" si="5"/>
        <v>75</v>
      </c>
      <c r="D80" s="62" t="str">
        <f>IR!A76</f>
        <v>INV-2026-075</v>
      </c>
      <c r="E80" s="62" t="str">
        <f>VLOOKUP(PR!$D80,IR!$A$2:$F$101,2)</f>
        <v>Christopher Moore</v>
      </c>
      <c r="F80" s="63">
        <f>VLOOKUP(PR!$D80,IR!$A$2:$F$101,3)</f>
        <v>46287</v>
      </c>
      <c r="G80" s="64">
        <f>VLOOKUP(PR!$D80,IR!$A$2:$F$101,4)</f>
        <v>520.5</v>
      </c>
      <c r="H80" s="64" t="str">
        <f>VLOOKUP(PR!$D80,IR!$A$2:$F$101,5)</f>
        <v>Project delivery</v>
      </c>
      <c r="I80" s="63" t="str">
        <f>VLOOKUP(PR!$D80,IR!$A$2:$F$101,6)</f>
        <v>PAY-7075</v>
      </c>
      <c r="J80" s="64"/>
      <c r="K80" s="63">
        <f>WORKDAY(Table3[[#This Row],[Date of invoice]],2)</f>
        <v>46289</v>
      </c>
      <c r="L80" s="64">
        <f>IF(PR!$J80=0,PR!$G80*50%,PR!$J80)</f>
        <v>260.25</v>
      </c>
      <c r="M80" s="65">
        <f t="shared" si="4"/>
        <v>260.25</v>
      </c>
      <c r="N80" s="65">
        <f ca="1">ARD!L86</f>
        <v>260.25</v>
      </c>
      <c r="O80" s="2"/>
      <c r="P80" s="2"/>
      <c r="Q80" s="3"/>
    </row>
    <row r="81" spans="2:17" x14ac:dyDescent="0.3">
      <c r="B81" s="1"/>
      <c r="C81" s="66">
        <f t="shared" si="5"/>
        <v>76</v>
      </c>
      <c r="D81" s="66" t="str">
        <f>IR!A77</f>
        <v>INV-2026-076</v>
      </c>
      <c r="E81" s="66" t="str">
        <f>VLOOKUP(PR!$D81,IR!$A$2:$F$101,2)</f>
        <v>Clara Taylor</v>
      </c>
      <c r="F81" s="67">
        <f>VLOOKUP(PR!$D81,IR!$A$2:$F$101,3)</f>
        <v>46291</v>
      </c>
      <c r="G81" s="68">
        <f>VLOOKUP(PR!$D81,IR!$A$2:$F$101,4)</f>
        <v>1860.75</v>
      </c>
      <c r="H81" s="68" t="str">
        <f>VLOOKUP(PR!$D81,IR!$A$2:$F$101,5)</f>
        <v>Marketing services</v>
      </c>
      <c r="I81" s="67" t="str">
        <f>VLOOKUP(PR!$D81,IR!$A$2:$F$101,6)</f>
        <v>PAY-7076</v>
      </c>
      <c r="J81" s="68"/>
      <c r="K81" s="67">
        <f>WORKDAY(Table3[[#This Row],[Date of invoice]],2)</f>
        <v>46294</v>
      </c>
      <c r="L81" s="68">
        <f>IF(PR!$J81=0,PR!$G81*50%,PR!$J81)</f>
        <v>930.375</v>
      </c>
      <c r="M81" s="69">
        <f t="shared" si="4"/>
        <v>930.375</v>
      </c>
      <c r="N81" s="69">
        <f ca="1">ARD!L87</f>
        <v>930.375</v>
      </c>
      <c r="O81" s="2"/>
      <c r="P81" s="2"/>
      <c r="Q81" s="3"/>
    </row>
    <row r="82" spans="2:17" x14ac:dyDescent="0.3">
      <c r="B82" s="1"/>
      <c r="C82" s="62">
        <f t="shared" si="5"/>
        <v>77</v>
      </c>
      <c r="D82" s="62" t="str">
        <f>IR!A78</f>
        <v>INV-2026-077</v>
      </c>
      <c r="E82" s="62" t="str">
        <f>VLOOKUP(PR!$D82,IR!$A$2:$F$101,2)</f>
        <v>Jonathan Anderson</v>
      </c>
      <c r="F82" s="63">
        <f>VLOOKUP(PR!$D82,IR!$A$2:$F$101,3)</f>
        <v>46295</v>
      </c>
      <c r="G82" s="64">
        <f>VLOOKUP(PR!$D82,IR!$A$2:$F$101,4)</f>
        <v>365</v>
      </c>
      <c r="H82" s="64" t="str">
        <f>VLOOKUP(PR!$D82,IR!$A$2:$F$101,5)</f>
        <v>Maintenance services</v>
      </c>
      <c r="I82" s="63" t="str">
        <f>VLOOKUP(PR!$D82,IR!$A$2:$F$101,6)</f>
        <v>PAY-7077</v>
      </c>
      <c r="J82" s="64"/>
      <c r="K82" s="63">
        <f>WORKDAY(Table3[[#This Row],[Date of invoice]],2)</f>
        <v>46297</v>
      </c>
      <c r="L82" s="64">
        <f>IF(PR!$J82=0,PR!$G82*50%,PR!$J82)</f>
        <v>182.5</v>
      </c>
      <c r="M82" s="65">
        <f t="shared" si="4"/>
        <v>182.5</v>
      </c>
      <c r="N82" s="65">
        <f ca="1">ARD!L88</f>
        <v>182.5</v>
      </c>
      <c r="O82" s="2"/>
      <c r="P82" s="2"/>
      <c r="Q82" s="3"/>
    </row>
    <row r="83" spans="2:17" x14ac:dyDescent="0.3">
      <c r="B83" s="1"/>
      <c r="C83" s="66">
        <f t="shared" si="5"/>
        <v>78</v>
      </c>
      <c r="D83" s="66" t="str">
        <f>IR!A79</f>
        <v>INV-2026-078</v>
      </c>
      <c r="E83" s="66" t="str">
        <f>VLOOKUP(PR!$D83,IR!$A$2:$F$101,2)</f>
        <v>Amber Thomas</v>
      </c>
      <c r="F83" s="67">
        <f>VLOOKUP(PR!$D83,IR!$A$2:$F$101,3)</f>
        <v>46298</v>
      </c>
      <c r="G83" s="68">
        <f>VLOOKUP(PR!$D83,IR!$A$2:$F$101,4)</f>
        <v>1095.25</v>
      </c>
      <c r="H83" s="68" t="str">
        <f>VLOOKUP(PR!$D83,IR!$A$2:$F$101,5)</f>
        <v>Software licence</v>
      </c>
      <c r="I83" s="67" t="str">
        <f>VLOOKUP(PR!$D83,IR!$A$2:$F$101,6)</f>
        <v>PAY-7078</v>
      </c>
      <c r="J83" s="68"/>
      <c r="K83" s="67">
        <f>WORKDAY(Table3[[#This Row],[Date of invoice]],2)</f>
        <v>46301</v>
      </c>
      <c r="L83" s="68">
        <f>IF(PR!$J83=0,PR!$G83*50%,PR!$J83)</f>
        <v>547.625</v>
      </c>
      <c r="M83" s="69">
        <f t="shared" si="4"/>
        <v>547.625</v>
      </c>
      <c r="N83" s="69">
        <f ca="1">ARD!L89</f>
        <v>547.625</v>
      </c>
      <c r="O83" s="2"/>
      <c r="P83" s="2"/>
      <c r="Q83" s="3"/>
    </row>
    <row r="84" spans="2:17" x14ac:dyDescent="0.3">
      <c r="B84" s="1"/>
      <c r="C84" s="62">
        <f t="shared" si="5"/>
        <v>79</v>
      </c>
      <c r="D84" s="62" t="str">
        <f>IR!A80</f>
        <v>INV-2026-079</v>
      </c>
      <c r="E84" s="62" t="str">
        <f>VLOOKUP(PR!$D84,IR!$A$2:$F$101,2)</f>
        <v>Robert Jackson</v>
      </c>
      <c r="F84" s="63">
        <f>VLOOKUP(PR!$D84,IR!$A$2:$F$101,3)</f>
        <v>46301</v>
      </c>
      <c r="G84" s="64">
        <f>VLOOKUP(PR!$D84,IR!$A$2:$F$101,4)</f>
        <v>2525</v>
      </c>
      <c r="H84" s="64" t="str">
        <f>VLOOKUP(PR!$D84,IR!$A$2:$F$101,5)</f>
        <v>Stationery order</v>
      </c>
      <c r="I84" s="63" t="str">
        <f>VLOOKUP(PR!$D84,IR!$A$2:$F$101,6)</f>
        <v>PAY-7079</v>
      </c>
      <c r="J84" s="64"/>
      <c r="K84" s="63">
        <f>WORKDAY(Table3[[#This Row],[Date of invoice]],2)</f>
        <v>46303</v>
      </c>
      <c r="L84" s="64">
        <f>IF(PR!$J84=0,PR!$G84*50%,PR!$J84)</f>
        <v>1262.5</v>
      </c>
      <c r="M84" s="65">
        <f t="shared" si="4"/>
        <v>1262.5</v>
      </c>
      <c r="N84" s="65">
        <f ca="1">ARD!L90</f>
        <v>1262.5</v>
      </c>
      <c r="O84" s="2"/>
      <c r="P84" s="2"/>
      <c r="Q84" s="3"/>
    </row>
    <row r="85" spans="2:17" x14ac:dyDescent="0.3">
      <c r="B85" s="1"/>
      <c r="C85" s="66">
        <f t="shared" si="5"/>
        <v>80</v>
      </c>
      <c r="D85" s="66" t="str">
        <f>IR!A81</f>
        <v>INV-2026-080</v>
      </c>
      <c r="E85" s="66" t="str">
        <f>VLOOKUP(PR!$D85,IR!$A$2:$F$101,2)</f>
        <v>Beatrice White</v>
      </c>
      <c r="F85" s="67">
        <f>VLOOKUP(PR!$D85,IR!$A$2:$F$101,3)</f>
        <v>46304</v>
      </c>
      <c r="G85" s="68">
        <f>VLOOKUP(PR!$D85,IR!$A$2:$F$101,4)</f>
        <v>680.5</v>
      </c>
      <c r="H85" s="68" t="str">
        <f>VLOOKUP(PR!$D85,IR!$A$2:$F$101,5)</f>
        <v>Training services</v>
      </c>
      <c r="I85" s="67" t="str">
        <f>VLOOKUP(PR!$D85,IR!$A$2:$F$101,6)</f>
        <v>PAY-7080</v>
      </c>
      <c r="J85" s="68"/>
      <c r="K85" s="67">
        <f>WORKDAY(Table3[[#This Row],[Date of invoice]],2)</f>
        <v>46308</v>
      </c>
      <c r="L85" s="68">
        <f>IF(PR!$J85=0,PR!$G85*50%,PR!$J85)</f>
        <v>340.25</v>
      </c>
      <c r="M85" s="69">
        <f t="shared" si="4"/>
        <v>340.25</v>
      </c>
      <c r="N85" s="69">
        <f ca="1">ARD!L91</f>
        <v>340.25</v>
      </c>
      <c r="O85" s="2"/>
      <c r="P85" s="2"/>
      <c r="Q85" s="3"/>
    </row>
    <row r="86" spans="2:17" x14ac:dyDescent="0.3">
      <c r="B86" s="1"/>
      <c r="C86" s="62">
        <f t="shared" si="5"/>
        <v>81</v>
      </c>
      <c r="D86" s="62" t="str">
        <f>IR!A82</f>
        <v>INV-2026-081</v>
      </c>
      <c r="E86" s="62" t="str">
        <f>VLOOKUP(PR!$D86,IR!$A$2:$F$101,2)</f>
        <v>Louis Harris</v>
      </c>
      <c r="F86" s="63">
        <f>VLOOKUP(PR!$D86,IR!$A$2:$F$101,3)</f>
        <v>46307</v>
      </c>
      <c r="G86" s="64">
        <f>VLOOKUP(PR!$D86,IR!$A$2:$F$101,4)</f>
        <v>1155</v>
      </c>
      <c r="H86" s="64" t="str">
        <f>VLOOKUP(PR!$D86,IR!$A$2:$F$101,5)</f>
        <v>Office supplies</v>
      </c>
      <c r="I86" s="63" t="str">
        <f>VLOOKUP(PR!$D86,IR!$A$2:$F$101,6)</f>
        <v>PAY-7081</v>
      </c>
      <c r="J86" s="64"/>
      <c r="K86" s="63">
        <f>WORKDAY(Table3[[#This Row],[Date of invoice]],2)</f>
        <v>46309</v>
      </c>
      <c r="L86" s="64">
        <f>IF(PR!$J86=0,PR!$G86*50%,PR!$J86)</f>
        <v>577.5</v>
      </c>
      <c r="M86" s="65">
        <f t="shared" si="4"/>
        <v>577.5</v>
      </c>
      <c r="N86" s="65">
        <f ca="1">ARD!L92</f>
        <v>577.5</v>
      </c>
      <c r="O86" s="2"/>
      <c r="P86" s="2"/>
      <c r="Q86" s="3"/>
    </row>
    <row r="87" spans="2:17" x14ac:dyDescent="0.3">
      <c r="B87" s="1"/>
      <c r="C87" s="66">
        <f t="shared" si="5"/>
        <v>82</v>
      </c>
      <c r="D87" s="66" t="str">
        <f>IR!A83</f>
        <v>INV-2026-082</v>
      </c>
      <c r="E87" s="66" t="str">
        <f>VLOOKUP(PR!$D87,IR!$A$2:$F$101,2)</f>
        <v>Orla Martin</v>
      </c>
      <c r="F87" s="67">
        <f>VLOOKUP(PR!$D87,IR!$A$2:$F$101,3)</f>
        <v>46310</v>
      </c>
      <c r="G87" s="68">
        <f>VLOOKUP(PR!$D87,IR!$A$2:$F$101,4)</f>
        <v>425.75</v>
      </c>
      <c r="H87" s="68" t="str">
        <f>VLOOKUP(PR!$D87,IR!$A$2:$F$101,5)</f>
        <v>Consulting services</v>
      </c>
      <c r="I87" s="67" t="str">
        <f>VLOOKUP(PR!$D87,IR!$A$2:$F$101,6)</f>
        <v>PAY-7082</v>
      </c>
      <c r="J87" s="68"/>
      <c r="K87" s="67">
        <f>WORKDAY(Table3[[#This Row],[Date of invoice]],2)</f>
        <v>46314</v>
      </c>
      <c r="L87" s="68">
        <f>IF(PR!$J87=0,PR!$G87*50%,PR!$J87)</f>
        <v>212.875</v>
      </c>
      <c r="M87" s="69">
        <f t="shared" si="4"/>
        <v>212.875</v>
      </c>
      <c r="N87" s="69">
        <f ca="1">ARD!L93</f>
        <v>212.875</v>
      </c>
      <c r="O87" s="2"/>
      <c r="P87" s="2"/>
      <c r="Q87" s="3"/>
    </row>
    <row r="88" spans="2:17" x14ac:dyDescent="0.3">
      <c r="B88" s="1"/>
      <c r="C88" s="62">
        <f t="shared" si="5"/>
        <v>83</v>
      </c>
      <c r="D88" s="62" t="str">
        <f>IR!A84</f>
        <v>INV-2026-083</v>
      </c>
      <c r="E88" s="62" t="str">
        <f>VLOOKUP(PR!$D88,IR!$A$2:$F$101,2)</f>
        <v>Edward Moore</v>
      </c>
      <c r="F88" s="63">
        <f>VLOOKUP(PR!$D88,IR!$A$2:$F$101,3)</f>
        <v>46311</v>
      </c>
      <c r="G88" s="64">
        <f>VLOOKUP(PR!$D88,IR!$A$2:$F$101,4)</f>
        <v>2690</v>
      </c>
      <c r="H88" s="64" t="str">
        <f>VLOOKUP(PR!$D88,IR!$A$2:$F$101,5)</f>
        <v>Equipment purchase</v>
      </c>
      <c r="I88" s="63" t="str">
        <f>VLOOKUP(PR!$D88,IR!$A$2:$F$101,6)</f>
        <v>PAY-7083</v>
      </c>
      <c r="J88" s="64"/>
      <c r="K88" s="63">
        <f>WORKDAY(Table3[[#This Row],[Date of invoice]],2)</f>
        <v>46315</v>
      </c>
      <c r="L88" s="64">
        <f>IF(PR!$J88=0,PR!$G88*50%,PR!$J88)</f>
        <v>1345</v>
      </c>
      <c r="M88" s="65">
        <f t="shared" si="4"/>
        <v>1345</v>
      </c>
      <c r="N88" s="65">
        <f ca="1">ARD!L94</f>
        <v>1345</v>
      </c>
      <c r="O88" s="2"/>
      <c r="P88" s="2"/>
      <c r="Q88" s="3"/>
    </row>
    <row r="89" spans="2:17" x14ac:dyDescent="0.3">
      <c r="B89" s="1"/>
      <c r="C89" s="66">
        <f t="shared" si="5"/>
        <v>84</v>
      </c>
      <c r="D89" s="66" t="str">
        <f>IR!A85</f>
        <v>INV-2026-084</v>
      </c>
      <c r="E89" s="66" t="str">
        <f>VLOOKUP(PR!$D89,IR!$A$2:$F$101,2)</f>
        <v>Nancy Taylor</v>
      </c>
      <c r="F89" s="67">
        <f>VLOOKUP(PR!$D89,IR!$A$2:$F$101,3)</f>
        <v>46257</v>
      </c>
      <c r="G89" s="68">
        <f>VLOOKUP(PR!$D89,IR!$A$2:$F$101,4)</f>
        <v>775.5</v>
      </c>
      <c r="H89" s="68" t="str">
        <f>VLOOKUP(PR!$D89,IR!$A$2:$F$101,5)</f>
        <v>Monthly subscription</v>
      </c>
      <c r="I89" s="67" t="str">
        <f>VLOOKUP(PR!$D89,IR!$A$2:$F$101,6)</f>
        <v>PAY-7084</v>
      </c>
      <c r="J89" s="68"/>
      <c r="K89" s="67">
        <f>WORKDAY(Table3[[#This Row],[Date of invoice]],2)</f>
        <v>46259</v>
      </c>
      <c r="L89" s="68">
        <f>IF(PR!$J89=0,PR!$G89*50%,PR!$J89)</f>
        <v>387.75</v>
      </c>
      <c r="M89" s="69">
        <f t="shared" si="4"/>
        <v>387.75</v>
      </c>
      <c r="N89" s="69">
        <f ca="1">ARD!L95</f>
        <v>442.03500000000003</v>
      </c>
      <c r="O89" s="2"/>
      <c r="P89" s="2"/>
      <c r="Q89" s="3"/>
    </row>
    <row r="90" spans="2:17" x14ac:dyDescent="0.3">
      <c r="B90" s="1"/>
      <c r="C90" s="62">
        <f t="shared" si="5"/>
        <v>85</v>
      </c>
      <c r="D90" s="62" t="str">
        <f>IR!A86</f>
        <v>INV-2026-085</v>
      </c>
      <c r="E90" s="62" t="str">
        <f>VLOOKUP(PR!$D90,IR!$A$2:$F$101,2)</f>
        <v>Gabriel Anderson</v>
      </c>
      <c r="F90" s="63">
        <f>VLOOKUP(PR!$D90,IR!$A$2:$F$101,3)</f>
        <v>46261</v>
      </c>
      <c r="G90" s="64">
        <f>VLOOKUP(PR!$D90,IR!$A$2:$F$101,4)</f>
        <v>1495</v>
      </c>
      <c r="H90" s="64" t="str">
        <f>VLOOKUP(PR!$D90,IR!$A$2:$F$101,5)</f>
        <v>Project delivery</v>
      </c>
      <c r="I90" s="63" t="str">
        <f>VLOOKUP(PR!$D90,IR!$A$2:$F$101,6)</f>
        <v>PAY-7085</v>
      </c>
      <c r="J90" s="64"/>
      <c r="K90" s="63">
        <f>WORKDAY(Table3[[#This Row],[Date of invoice]],2)</f>
        <v>46265</v>
      </c>
      <c r="L90" s="64">
        <f>IF(PR!$J90=0,PR!$G90*50%,PR!$J90)</f>
        <v>747.5</v>
      </c>
      <c r="M90" s="65">
        <f t="shared" si="4"/>
        <v>747.5</v>
      </c>
      <c r="N90" s="65">
        <f ca="1">ARD!L96</f>
        <v>829.72500000000002</v>
      </c>
      <c r="O90" s="2"/>
      <c r="P90" s="2"/>
      <c r="Q90" s="3"/>
    </row>
    <row r="91" spans="2:17" x14ac:dyDescent="0.3">
      <c r="B91" s="1"/>
      <c r="C91" s="66">
        <f t="shared" si="5"/>
        <v>86</v>
      </c>
      <c r="D91" s="66" t="str">
        <f>IR!A87</f>
        <v>INV-2026-086</v>
      </c>
      <c r="E91" s="66" t="str">
        <f>VLOOKUP(PR!$D91,IR!$A$2:$F$101,2)</f>
        <v>Martha Thomas</v>
      </c>
      <c r="F91" s="67">
        <f>VLOOKUP(PR!$D91,IR!$A$2:$F$101,3)</f>
        <v>46266</v>
      </c>
      <c r="G91" s="68">
        <f>VLOOKUP(PR!$D91,IR!$A$2:$F$101,4)</f>
        <v>585.25</v>
      </c>
      <c r="H91" s="68" t="str">
        <f>VLOOKUP(PR!$D91,IR!$A$2:$F$101,5)</f>
        <v>Marketing services</v>
      </c>
      <c r="I91" s="67" t="str">
        <f>VLOOKUP(PR!$D91,IR!$A$2:$F$101,6)</f>
        <v>PAY-7086</v>
      </c>
      <c r="J91" s="68"/>
      <c r="K91" s="67">
        <f>WORKDAY(Table3[[#This Row],[Date of invoice]],2)</f>
        <v>46268</v>
      </c>
      <c r="L91" s="68">
        <f>IF(PR!$J91=0,PR!$G91*50%,PR!$J91)</f>
        <v>292.625</v>
      </c>
      <c r="M91" s="69">
        <f t="shared" si="4"/>
        <v>292.625</v>
      </c>
      <c r="N91" s="69">
        <f ca="1">ARD!L97</f>
        <v>316.03500000000003</v>
      </c>
      <c r="O91" s="2"/>
      <c r="P91" s="2"/>
      <c r="Q91" s="3"/>
    </row>
    <row r="92" spans="2:17" x14ac:dyDescent="0.3">
      <c r="B92" s="1"/>
      <c r="C92" s="62">
        <f t="shared" si="5"/>
        <v>87</v>
      </c>
      <c r="D92" s="62" t="str">
        <f>IR!A88</f>
        <v>INV-2026-087</v>
      </c>
      <c r="E92" s="62" t="str">
        <f>VLOOKUP(PR!$D92,IR!$A$2:$F$101,2)</f>
        <v>Patrick Jackson</v>
      </c>
      <c r="F92" s="63">
        <f>VLOOKUP(PR!$D92,IR!$A$2:$F$101,3)</f>
        <v>46270</v>
      </c>
      <c r="G92" s="64">
        <f>VLOOKUP(PR!$D92,IR!$A$2:$F$101,4)</f>
        <v>965</v>
      </c>
      <c r="H92" s="64" t="str">
        <f>VLOOKUP(PR!$D92,IR!$A$2:$F$101,5)</f>
        <v>Maintenance services</v>
      </c>
      <c r="I92" s="63" t="str">
        <f>VLOOKUP(PR!$D92,IR!$A$2:$F$101,6)</f>
        <v>PAY-7087</v>
      </c>
      <c r="J92" s="64"/>
      <c r="K92" s="63">
        <f>WORKDAY(Table3[[#This Row],[Date of invoice]],2)</f>
        <v>46273</v>
      </c>
      <c r="L92" s="64">
        <f>IF(PR!$J92=0,PR!$G92*50%,PR!$J92)</f>
        <v>482.5</v>
      </c>
      <c r="M92" s="65">
        <f t="shared" si="4"/>
        <v>482.5</v>
      </c>
      <c r="N92" s="65">
        <f ca="1">ARD!L98</f>
        <v>521.1</v>
      </c>
      <c r="O92" s="2"/>
      <c r="P92" s="2"/>
      <c r="Q92" s="3"/>
    </row>
    <row r="93" spans="2:17" x14ac:dyDescent="0.3">
      <c r="B93" s="1"/>
      <c r="C93" s="66">
        <f t="shared" si="5"/>
        <v>88</v>
      </c>
      <c r="D93" s="66" t="str">
        <f>IR!A89</f>
        <v>INV-2026-088</v>
      </c>
      <c r="E93" s="66" t="str">
        <f>VLOOKUP(PR!$D93,IR!$A$2:$F$101,2)</f>
        <v>Rose White</v>
      </c>
      <c r="F93" s="67">
        <f>VLOOKUP(PR!$D93,IR!$A$2:$F$101,3)</f>
        <v>46274</v>
      </c>
      <c r="G93" s="68">
        <f>VLOOKUP(PR!$D93,IR!$A$2:$F$101,4)</f>
        <v>1820.5</v>
      </c>
      <c r="H93" s="68" t="str">
        <f>VLOOKUP(PR!$D93,IR!$A$2:$F$101,5)</f>
        <v>Software licence</v>
      </c>
      <c r="I93" s="67" t="str">
        <f>VLOOKUP(PR!$D93,IR!$A$2:$F$101,6)</f>
        <v>PAY-7088</v>
      </c>
      <c r="J93" s="68"/>
      <c r="K93" s="67">
        <f>WORKDAY(Table3[[#This Row],[Date of invoice]],2)</f>
        <v>46276</v>
      </c>
      <c r="L93" s="68">
        <f>IF(PR!$J93=0,PR!$G93*50%,PR!$J93)</f>
        <v>910.25</v>
      </c>
      <c r="M93" s="69">
        <f t="shared" si="4"/>
        <v>910.25</v>
      </c>
      <c r="N93" s="69">
        <f ca="1">ARD!L99</f>
        <v>955.76250000000005</v>
      </c>
      <c r="O93" s="2"/>
      <c r="P93" s="2"/>
      <c r="Q93" s="3"/>
    </row>
    <row r="94" spans="2:17" x14ac:dyDescent="0.3">
      <c r="B94" s="1"/>
      <c r="C94" s="62">
        <f t="shared" si="5"/>
        <v>89</v>
      </c>
      <c r="D94" s="62" t="str">
        <f>IR!A90</f>
        <v>INV-2026-089</v>
      </c>
      <c r="E94" s="62" t="str">
        <f>VLOOKUP(PR!$D94,IR!$A$2:$F$101,2)</f>
        <v>Andrew Harris</v>
      </c>
      <c r="F94" s="63">
        <f>VLOOKUP(PR!$D94,IR!$A$2:$F$101,3)</f>
        <v>46278</v>
      </c>
      <c r="G94" s="64">
        <f>VLOOKUP(PR!$D94,IR!$A$2:$F$101,4)</f>
        <v>310</v>
      </c>
      <c r="H94" s="64" t="str">
        <f>VLOOKUP(PR!$D94,IR!$A$2:$F$101,5)</f>
        <v>Stationery order</v>
      </c>
      <c r="I94" s="63" t="str">
        <f>VLOOKUP(PR!$D94,IR!$A$2:$F$101,6)</f>
        <v>PAY-7089</v>
      </c>
      <c r="J94" s="64"/>
      <c r="K94" s="63">
        <f>WORKDAY(Table3[[#This Row],[Date of invoice]],2)</f>
        <v>46280</v>
      </c>
      <c r="L94" s="64">
        <f>IF(PR!$J94=0,PR!$G94*50%,PR!$J94)</f>
        <v>155</v>
      </c>
      <c r="M94" s="65">
        <f t="shared" si="4"/>
        <v>155</v>
      </c>
      <c r="N94" s="65">
        <f ca="1">ARD!L100</f>
        <v>158.1</v>
      </c>
      <c r="O94" s="2"/>
      <c r="P94" s="2"/>
      <c r="Q94" s="3"/>
    </row>
    <row r="95" spans="2:17" x14ac:dyDescent="0.3">
      <c r="B95" s="1"/>
      <c r="C95" s="66">
        <f t="shared" si="5"/>
        <v>90</v>
      </c>
      <c r="D95" s="66" t="str">
        <f>IR!A91</f>
        <v>INV-2026-090</v>
      </c>
      <c r="E95" s="66" t="str">
        <f>VLOOKUP(PR!$D95,IR!$A$2:$F$101,2)</f>
        <v>Edith Martin</v>
      </c>
      <c r="F95" s="67">
        <f>VLOOKUP(PR!$D95,IR!$A$2:$F$101,3)</f>
        <v>46282</v>
      </c>
      <c r="G95" s="68">
        <f>VLOOKUP(PR!$D95,IR!$A$2:$F$101,4)</f>
        <v>1265.75</v>
      </c>
      <c r="H95" s="68" t="str">
        <f>VLOOKUP(PR!$D95,IR!$A$2:$F$101,5)</f>
        <v>Training services</v>
      </c>
      <c r="I95" s="67" t="str">
        <f>VLOOKUP(PR!$D95,IR!$A$2:$F$101,6)</f>
        <v>PAY-7090</v>
      </c>
      <c r="J95" s="68"/>
      <c r="K95" s="67">
        <f>WORKDAY(Table3[[#This Row],[Date of invoice]],2)</f>
        <v>46286</v>
      </c>
      <c r="L95" s="68">
        <f>IF(PR!$J95=0,PR!$G95*50%,PR!$J95)</f>
        <v>632.875</v>
      </c>
      <c r="M95" s="69">
        <f t="shared" si="4"/>
        <v>632.875</v>
      </c>
      <c r="N95" s="69">
        <f ca="1">ARD!L101</f>
        <v>639.20375000000001</v>
      </c>
      <c r="O95" s="2"/>
      <c r="P95" s="2"/>
      <c r="Q95" s="3"/>
    </row>
    <row r="96" spans="2:17" x14ac:dyDescent="0.3">
      <c r="B96" s="1"/>
      <c r="C96" s="62">
        <f t="shared" si="5"/>
        <v>91</v>
      </c>
      <c r="D96" s="62" t="str">
        <f>IR!A92</f>
        <v>INV-2026-091</v>
      </c>
      <c r="E96" s="62" t="str">
        <f>VLOOKUP(PR!$D96,IR!$A$2:$F$101,2)</f>
        <v>Matthew Moore</v>
      </c>
      <c r="F96" s="63">
        <f>VLOOKUP(PR!$D96,IR!$A$2:$F$101,3)</f>
        <v>46286</v>
      </c>
      <c r="G96" s="64">
        <f>VLOOKUP(PR!$D96,IR!$A$2:$F$101,4)</f>
        <v>695</v>
      </c>
      <c r="H96" s="64" t="str">
        <f>VLOOKUP(PR!$D96,IR!$A$2:$F$101,5)</f>
        <v>Office supplies</v>
      </c>
      <c r="I96" s="63" t="str">
        <f>VLOOKUP(PR!$D96,IR!$A$2:$F$101,6)</f>
        <v>PAY-7091</v>
      </c>
      <c r="J96" s="64"/>
      <c r="K96" s="63">
        <f>WORKDAY(Table3[[#This Row],[Date of invoice]],2)</f>
        <v>46288</v>
      </c>
      <c r="L96" s="64">
        <f>IF(PR!$J96=0,PR!$G96*50%,PR!$J96)</f>
        <v>347.5</v>
      </c>
      <c r="M96" s="65">
        <f t="shared" si="4"/>
        <v>347.5</v>
      </c>
      <c r="N96" s="65">
        <f ca="1">ARD!L102</f>
        <v>347.5</v>
      </c>
      <c r="O96" s="2"/>
      <c r="P96" s="2"/>
      <c r="Q96" s="3"/>
    </row>
    <row r="97" spans="2:17" x14ac:dyDescent="0.3">
      <c r="B97" s="1"/>
      <c r="C97" s="66">
        <f t="shared" si="5"/>
        <v>92</v>
      </c>
      <c r="D97" s="66" t="str">
        <f>IR!A93</f>
        <v>INV-2026-092</v>
      </c>
      <c r="E97" s="66" t="str">
        <f>VLOOKUP(PR!$D97,IR!$A$2:$F$101,2)</f>
        <v>Sarah Taylor</v>
      </c>
      <c r="F97" s="67">
        <f>VLOOKUP(PR!$D97,IR!$A$2:$F$101,3)</f>
        <v>46290</v>
      </c>
      <c r="G97" s="68">
        <f>VLOOKUP(PR!$D97,IR!$A$2:$F$101,4)</f>
        <v>2190.25</v>
      </c>
      <c r="H97" s="68" t="str">
        <f>VLOOKUP(PR!$D97,IR!$A$2:$F$101,5)</f>
        <v>Consulting services</v>
      </c>
      <c r="I97" s="67" t="str">
        <f>VLOOKUP(PR!$D97,IR!$A$2:$F$101,6)</f>
        <v>PAY-7092</v>
      </c>
      <c r="J97" s="68"/>
      <c r="K97" s="67">
        <f>WORKDAY(Table3[[#This Row],[Date of invoice]],2)</f>
        <v>46294</v>
      </c>
      <c r="L97" s="68">
        <f>IF(PR!$J97=0,PR!$G97*50%,PR!$J97)</f>
        <v>1095.125</v>
      </c>
      <c r="M97" s="69">
        <f t="shared" si="4"/>
        <v>1095.125</v>
      </c>
      <c r="N97" s="69">
        <f ca="1">ARD!L103</f>
        <v>1095.125</v>
      </c>
      <c r="O97" s="2"/>
      <c r="P97" s="2"/>
      <c r="Q97" s="3"/>
    </row>
    <row r="98" spans="2:17" x14ac:dyDescent="0.3">
      <c r="B98" s="1"/>
      <c r="C98" s="62">
        <f t="shared" si="5"/>
        <v>93</v>
      </c>
      <c r="D98" s="62" t="str">
        <f>IR!A94</f>
        <v>INV-2026-093</v>
      </c>
      <c r="E98" s="62" t="str">
        <f>VLOOKUP(PR!$D98,IR!$A$2:$F$101,2)</f>
        <v>Anthony Anderson</v>
      </c>
      <c r="F98" s="63">
        <f>VLOOKUP(PR!$D98,IR!$A$2:$F$101,3)</f>
        <v>46294</v>
      </c>
      <c r="G98" s="64">
        <f>VLOOKUP(PR!$D98,IR!$A$2:$F$101,4)</f>
        <v>830</v>
      </c>
      <c r="H98" s="64" t="str">
        <f>VLOOKUP(PR!$D98,IR!$A$2:$F$101,5)</f>
        <v>Equipment purchase</v>
      </c>
      <c r="I98" s="63" t="str">
        <f>VLOOKUP(PR!$D98,IR!$A$2:$F$101,6)</f>
        <v>PAY-7093</v>
      </c>
      <c r="J98" s="64">
        <v>830</v>
      </c>
      <c r="K98" s="63">
        <f>WORKDAY(Table3[[#This Row],[Date of invoice]],2)</f>
        <v>46296</v>
      </c>
      <c r="L98" s="64">
        <f>IF(PR!$J98=0,PR!$G98*50%,PR!$J98)</f>
        <v>830</v>
      </c>
      <c r="M98" s="65" t="str">
        <f t="shared" si="4"/>
        <v>Paid All</v>
      </c>
      <c r="N98" s="65">
        <f ca="1">ARD!L104</f>
        <v>830</v>
      </c>
      <c r="O98" s="2"/>
      <c r="P98" s="2"/>
      <c r="Q98" s="3"/>
    </row>
    <row r="99" spans="2:17" x14ac:dyDescent="0.3">
      <c r="B99" s="1"/>
      <c r="C99" s="66">
        <f t="shared" si="5"/>
        <v>94</v>
      </c>
      <c r="D99" s="66" t="str">
        <f>IR!A95</f>
        <v>INV-2026-094</v>
      </c>
      <c r="E99" s="66" t="str">
        <f>VLOOKUP(PR!$D99,IR!$A$2:$F$101,2)</f>
        <v>Jane Thomas</v>
      </c>
      <c r="F99" s="67">
        <f>VLOOKUP(PR!$D99,IR!$A$2:$F$101,3)</f>
        <v>46299</v>
      </c>
      <c r="G99" s="68">
        <f>VLOOKUP(PR!$D99,IR!$A$2:$F$101,4)</f>
        <v>455.5</v>
      </c>
      <c r="H99" s="68" t="str">
        <f>VLOOKUP(PR!$D99,IR!$A$2:$F$101,5)</f>
        <v>Monthly subscription</v>
      </c>
      <c r="I99" s="67" t="str">
        <f>VLOOKUP(PR!$D99,IR!$A$2:$F$101,6)</f>
        <v>PAY-7094</v>
      </c>
      <c r="J99" s="68"/>
      <c r="K99" s="67">
        <f>WORKDAY(Table3[[#This Row],[Date of invoice]],2)</f>
        <v>46301</v>
      </c>
      <c r="L99" s="68">
        <f>IF(PR!$J99=0,PR!$G99*50%,PR!$J99)</f>
        <v>227.75</v>
      </c>
      <c r="M99" s="69">
        <f t="shared" si="4"/>
        <v>227.75</v>
      </c>
      <c r="N99" s="69">
        <f ca="1">ARD!L105</f>
        <v>227.75</v>
      </c>
      <c r="O99" s="2"/>
      <c r="P99" s="2"/>
      <c r="Q99" s="3"/>
    </row>
    <row r="100" spans="2:17" x14ac:dyDescent="0.3">
      <c r="B100" s="1"/>
      <c r="C100" s="62">
        <f t="shared" si="5"/>
        <v>95</v>
      </c>
      <c r="D100" s="62" t="str">
        <f>IR!A96</f>
        <v>INV-2026-095</v>
      </c>
      <c r="E100" s="62" t="str">
        <f>VLOOKUP(PR!$D100,IR!$A$2:$F$101,2)</f>
        <v>Peter Jackson</v>
      </c>
      <c r="F100" s="63">
        <f>VLOOKUP(PR!$D100,IR!$A$2:$F$101,3)</f>
        <v>46302</v>
      </c>
      <c r="G100" s="64">
        <f>VLOOKUP(PR!$D100,IR!$A$2:$F$101,4)</f>
        <v>2575</v>
      </c>
      <c r="H100" s="64" t="str">
        <f>VLOOKUP(PR!$D100,IR!$A$2:$F$101,5)</f>
        <v>Project delivery</v>
      </c>
      <c r="I100" s="63" t="str">
        <f>VLOOKUP(PR!$D100,IR!$A$2:$F$101,6)</f>
        <v>PAY-7095</v>
      </c>
      <c r="J100" s="64"/>
      <c r="K100" s="63">
        <f>WORKDAY(Table3[[#This Row],[Date of invoice]],2)</f>
        <v>46304</v>
      </c>
      <c r="L100" s="64">
        <f>IF(PR!$J100=0,PR!$G100*50%,PR!$J100)</f>
        <v>1287.5</v>
      </c>
      <c r="M100" s="65">
        <f t="shared" si="4"/>
        <v>1287.5</v>
      </c>
      <c r="N100" s="65">
        <f ca="1">ARD!L106</f>
        <v>1287.5</v>
      </c>
      <c r="O100" s="2"/>
      <c r="P100" s="2"/>
      <c r="Q100" s="3"/>
    </row>
    <row r="101" spans="2:17" x14ac:dyDescent="0.3">
      <c r="B101" s="1"/>
      <c r="C101" s="66">
        <f t="shared" si="5"/>
        <v>96</v>
      </c>
      <c r="D101" s="66" t="str">
        <f>IR!A97</f>
        <v>INV-2026-096</v>
      </c>
      <c r="E101" s="66" t="str">
        <f>VLOOKUP(PR!$D101,IR!$A$2:$F$101,2)</f>
        <v>Lucy White</v>
      </c>
      <c r="F101" s="67">
        <f>VLOOKUP(PR!$D101,IR!$A$2:$F$101,3)</f>
        <v>46267</v>
      </c>
      <c r="G101" s="68">
        <f>VLOOKUP(PR!$D101,IR!$A$2:$F$101,4)</f>
        <v>725.25</v>
      </c>
      <c r="H101" s="68" t="str">
        <f>VLOOKUP(PR!$D101,IR!$A$2:$F$101,5)</f>
        <v>Marketing services</v>
      </c>
      <c r="I101" s="67" t="str">
        <f>VLOOKUP(PR!$D101,IR!$A$2:$F$101,6)</f>
        <v>PAY-7096</v>
      </c>
      <c r="J101" s="68"/>
      <c r="K101" s="67">
        <f>WORKDAY(Table3[[#This Row],[Date of invoice]],2)</f>
        <v>46269</v>
      </c>
      <c r="L101" s="68">
        <f>IF(PR!$J101=0,PR!$G101*50%,PR!$J101)</f>
        <v>362.625</v>
      </c>
      <c r="M101" s="69">
        <f t="shared" si="4"/>
        <v>362.625</v>
      </c>
      <c r="N101" s="69">
        <f ca="1">ARD!L107</f>
        <v>391.63499999999999</v>
      </c>
      <c r="O101" s="2"/>
      <c r="P101" s="2"/>
      <c r="Q101" s="3"/>
    </row>
    <row r="102" spans="2:17" x14ac:dyDescent="0.3">
      <c r="B102" s="1"/>
      <c r="C102" s="62">
        <f t="shared" si="5"/>
        <v>97</v>
      </c>
      <c r="D102" s="62" t="str">
        <f>IR!A98</f>
        <v>INV-2026-097</v>
      </c>
      <c r="E102" s="62" t="str">
        <f>VLOOKUP(PR!$D102,IR!$A$2:$F$101,2)</f>
        <v>Stephen Harris</v>
      </c>
      <c r="F102" s="63">
        <f>VLOOKUP(PR!$D102,IR!$A$2:$F$101,3)</f>
        <v>46302</v>
      </c>
      <c r="G102" s="64">
        <f>VLOOKUP(PR!$D102,IR!$A$2:$F$101,4)</f>
        <v>1035</v>
      </c>
      <c r="H102" s="64" t="str">
        <f>VLOOKUP(PR!$D102,IR!$A$2:$F$101,5)</f>
        <v>Maintenance services</v>
      </c>
      <c r="I102" s="63" t="str">
        <f>VLOOKUP(PR!$D102,IR!$A$2:$F$101,6)</f>
        <v>PAY-7097</v>
      </c>
      <c r="J102" s="64"/>
      <c r="K102" s="63">
        <f>WORKDAY(Table3[[#This Row],[Date of invoice]],2)</f>
        <v>46304</v>
      </c>
      <c r="L102" s="64">
        <f>IF(PR!$J102=0,PR!$G102*50%,PR!$J102)</f>
        <v>517.5</v>
      </c>
      <c r="M102" s="65">
        <f t="shared" ref="M102:M105" si="6">IF(L102=G102,"Paid All",G102-L102)</f>
        <v>517.5</v>
      </c>
      <c r="N102" s="65">
        <f ca="1">ARD!L108</f>
        <v>517.5</v>
      </c>
      <c r="O102" s="2"/>
      <c r="P102" s="2"/>
      <c r="Q102" s="3"/>
    </row>
    <row r="103" spans="2:17" x14ac:dyDescent="0.3">
      <c r="B103" s="1"/>
      <c r="C103" s="66">
        <f t="shared" ref="C103:C110" si="7">C102+1</f>
        <v>98</v>
      </c>
      <c r="D103" s="66" t="str">
        <f>IR!A99</f>
        <v>INV-2026-098</v>
      </c>
      <c r="E103" s="66" t="str">
        <f>VLOOKUP(PR!$D103,IR!$A$2:$F$101,2)</f>
        <v>Anna Martin</v>
      </c>
      <c r="F103" s="67">
        <f>VLOOKUP(PR!$D103,IR!$A$2:$F$101,3)</f>
        <v>46224</v>
      </c>
      <c r="G103" s="68">
        <f>VLOOKUP(PR!$D103,IR!$A$2:$F$101,4)</f>
        <v>1695.5</v>
      </c>
      <c r="H103" s="68" t="str">
        <f>VLOOKUP(PR!$D103,IR!$A$2:$F$101,5)</f>
        <v>Software licence</v>
      </c>
      <c r="I103" s="67" t="str">
        <f>VLOOKUP(PR!$D103,IR!$A$2:$F$101,6)</f>
        <v>PAY-7098</v>
      </c>
      <c r="J103" s="68"/>
      <c r="K103" s="67">
        <f>WORKDAY(Table3[[#This Row],[Date of invoice]],2)</f>
        <v>46226</v>
      </c>
      <c r="L103" s="68">
        <f>IF(PR!$J103=0,PR!$G103*50%,PR!$J103)</f>
        <v>847.75</v>
      </c>
      <c r="M103" s="69">
        <f t="shared" si="6"/>
        <v>847.75</v>
      </c>
      <c r="N103" s="69">
        <f ca="1">ARD!L109</f>
        <v>1144.4625000000001</v>
      </c>
      <c r="O103" s="2"/>
      <c r="P103" s="2"/>
      <c r="Q103" s="3"/>
    </row>
    <row r="104" spans="2:17" x14ac:dyDescent="0.3">
      <c r="B104" s="1"/>
      <c r="C104" s="62">
        <f t="shared" si="7"/>
        <v>99</v>
      </c>
      <c r="D104" s="62" t="str">
        <f>IR!A100</f>
        <v>INV-2026-099</v>
      </c>
      <c r="E104" s="62" t="str">
        <f>VLOOKUP(PR!$D104,IR!$A$2:$F$101,2)</f>
        <v>Timothy Moore</v>
      </c>
      <c r="F104" s="63">
        <f>VLOOKUP(PR!$D104,IR!$A$2:$F$101,3)</f>
        <v>46325</v>
      </c>
      <c r="G104" s="64">
        <f>VLOOKUP(PR!$D104,IR!$A$2:$F$101,4)</f>
        <v>335.75</v>
      </c>
      <c r="H104" s="64" t="str">
        <f>VLOOKUP(PR!$D104,IR!$A$2:$F$101,5)</f>
        <v>Stationery order</v>
      </c>
      <c r="I104" s="63" t="str">
        <f>VLOOKUP(PR!$D104,IR!$A$2:$F$101,6)</f>
        <v>PAY-7099</v>
      </c>
      <c r="J104" s="64"/>
      <c r="K104" s="63">
        <f>WORKDAY(Table3[[#This Row],[Date of invoice]],2)</f>
        <v>46329</v>
      </c>
      <c r="L104" s="64">
        <f>IF(PR!$J104=0,PR!$G104*50%,PR!$J104)</f>
        <v>167.875</v>
      </c>
      <c r="M104" s="65">
        <f t="shared" si="6"/>
        <v>167.875</v>
      </c>
      <c r="N104" s="65">
        <f ca="1">ARD!L110</f>
        <v>167.875</v>
      </c>
      <c r="O104" s="2"/>
      <c r="P104" s="2"/>
      <c r="Q104" s="3"/>
    </row>
    <row r="105" spans="2:17" x14ac:dyDescent="0.3">
      <c r="B105" s="1"/>
      <c r="C105" s="66">
        <f t="shared" si="7"/>
        <v>100</v>
      </c>
      <c r="D105" s="66" t="str">
        <f>IR!A101</f>
        <v>INV-2026-100</v>
      </c>
      <c r="E105" s="66" t="str">
        <f>VLOOKUP(PR!$D105,IR!$A$2:$F$101,2)</f>
        <v>Victoria Taylor</v>
      </c>
      <c r="F105" s="67">
        <f>VLOOKUP(PR!$D105,IR!$A$2:$F$101,3)</f>
        <v>46253</v>
      </c>
      <c r="G105" s="68">
        <f>VLOOKUP(PR!$D105,IR!$A$2:$F$101,4)</f>
        <v>1285</v>
      </c>
      <c r="H105" s="68" t="str">
        <f>VLOOKUP(PR!$D105,IR!$A$2:$F$101,5)</f>
        <v>Training services</v>
      </c>
      <c r="I105" s="67" t="str">
        <f>VLOOKUP(PR!$D105,IR!$A$2:$F$101,6)</f>
        <v>PAY-7100</v>
      </c>
      <c r="J105" s="68"/>
      <c r="K105" s="67">
        <f>WORKDAY(Table3[[#This Row],[Date of invoice]],2)</f>
        <v>46255</v>
      </c>
      <c r="L105" s="68">
        <f>IF(PR!$J105=0,PR!$G105*50%,PR!$J105)</f>
        <v>642.5</v>
      </c>
      <c r="M105" s="69">
        <f t="shared" si="6"/>
        <v>642.5</v>
      </c>
      <c r="N105" s="69">
        <f ca="1">ARD!L111</f>
        <v>751.72500000000002</v>
      </c>
      <c r="O105" s="2"/>
      <c r="P105" s="2"/>
      <c r="Q105" s="3"/>
    </row>
    <row r="106" spans="2:17" x14ac:dyDescent="0.3">
      <c r="B106" s="1"/>
      <c r="C106" s="62">
        <f t="shared" si="7"/>
        <v>101</v>
      </c>
      <c r="D106" s="62"/>
      <c r="E106" s="62"/>
      <c r="F106" s="63"/>
      <c r="G106" s="64"/>
      <c r="H106" s="64"/>
      <c r="I106" s="63"/>
      <c r="J106" s="64"/>
      <c r="K106" s="63">
        <f>WORKDAY(Table3[[#This Row],[Date of invoice]],2)</f>
        <v>3</v>
      </c>
      <c r="L106" s="64"/>
      <c r="M106" s="65"/>
      <c r="N106" s="65"/>
      <c r="O106" s="2"/>
      <c r="P106" s="2"/>
      <c r="Q106" s="3"/>
    </row>
    <row r="107" spans="2:17" x14ac:dyDescent="0.3">
      <c r="B107" s="1"/>
      <c r="C107" s="66">
        <f t="shared" si="7"/>
        <v>102</v>
      </c>
      <c r="D107" s="66"/>
      <c r="E107" s="66"/>
      <c r="F107" s="67"/>
      <c r="G107" s="68"/>
      <c r="H107" s="68"/>
      <c r="I107" s="67"/>
      <c r="J107" s="68"/>
      <c r="K107" s="67">
        <f>WORKDAY(Table3[[#This Row],[Date of invoice]],2)</f>
        <v>3</v>
      </c>
      <c r="L107" s="68"/>
      <c r="M107" s="69"/>
      <c r="N107" s="69"/>
      <c r="O107" s="2"/>
      <c r="P107" s="2"/>
      <c r="Q107" s="3"/>
    </row>
    <row r="108" spans="2:17" x14ac:dyDescent="0.3">
      <c r="B108" s="1"/>
      <c r="C108" s="62">
        <f t="shared" si="7"/>
        <v>103</v>
      </c>
      <c r="D108" s="62"/>
      <c r="E108" s="70"/>
      <c r="F108" s="63"/>
      <c r="G108" s="64"/>
      <c r="H108" s="64"/>
      <c r="I108" s="63"/>
      <c r="J108" s="64"/>
      <c r="K108" s="63">
        <f>WORKDAY(Table3[[#This Row],[Date of invoice]],2)</f>
        <v>3</v>
      </c>
      <c r="L108" s="64"/>
      <c r="M108" s="65"/>
      <c r="N108" s="65"/>
      <c r="O108" s="2"/>
      <c r="P108" s="2"/>
      <c r="Q108" s="3"/>
    </row>
    <row r="109" spans="2:17" x14ac:dyDescent="0.3">
      <c r="B109" s="1"/>
      <c r="C109" s="66">
        <f t="shared" si="7"/>
        <v>104</v>
      </c>
      <c r="D109" s="66"/>
      <c r="E109" s="71"/>
      <c r="F109" s="67"/>
      <c r="G109" s="68"/>
      <c r="H109" s="68"/>
      <c r="I109" s="67"/>
      <c r="J109" s="68"/>
      <c r="K109" s="67">
        <f>WORKDAY(Table3[[#This Row],[Date of invoice]],2)</f>
        <v>3</v>
      </c>
      <c r="L109" s="68"/>
      <c r="M109" s="69"/>
      <c r="N109" s="69"/>
      <c r="O109" s="2"/>
      <c r="P109" s="2"/>
      <c r="Q109" s="3"/>
    </row>
    <row r="110" spans="2:17" ht="15" thickBot="1" x14ac:dyDescent="0.35">
      <c r="B110" s="1"/>
      <c r="C110" s="62">
        <f t="shared" si="7"/>
        <v>105</v>
      </c>
      <c r="D110" s="70"/>
      <c r="E110" s="70"/>
      <c r="F110" s="63"/>
      <c r="G110" s="64"/>
      <c r="H110" s="64"/>
      <c r="I110" s="63"/>
      <c r="J110" s="64"/>
      <c r="K110" s="63">
        <f>WORKDAY(Table3[[#This Row],[Date of invoice]],2)</f>
        <v>3</v>
      </c>
      <c r="L110" s="64"/>
      <c r="M110" s="65"/>
      <c r="N110" s="65"/>
      <c r="O110" s="2"/>
      <c r="P110" s="2"/>
      <c r="Q110" s="3"/>
    </row>
    <row r="111" spans="2:17" ht="15.6" thickTop="1" thickBot="1" x14ac:dyDescent="0.35">
      <c r="B111" s="4"/>
      <c r="C111" s="62"/>
      <c r="D111" s="22"/>
      <c r="E111" s="78"/>
      <c r="F111" s="63"/>
      <c r="G111" s="64"/>
      <c r="H111" s="64"/>
      <c r="I111" s="63"/>
      <c r="J111" s="64">
        <f>SUBTOTAL(109,Table3[Input Amount (If paid)])</f>
        <v>9970.75</v>
      </c>
      <c r="K111" s="63"/>
      <c r="L111" s="64">
        <f>SUBTOTAL(109,Table3[Deposit Amount])</f>
        <v>61279.425000000003</v>
      </c>
      <c r="M111" s="65">
        <f>SUBTOTAL(109,Table3[Outstanding Amount])</f>
        <v>51209.175000000003</v>
      </c>
      <c r="N111" s="65">
        <f ca="1">SUBTOTAL(109,Table3[Amounts Paid])</f>
        <v>63478.875749999985</v>
      </c>
      <c r="O111" s="61"/>
      <c r="P111" s="61"/>
      <c r="Q111" s="75"/>
    </row>
    <row r="112" spans="2:17" ht="15" thickBot="1" x14ac:dyDescent="0.35"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/>
    </row>
    <row r="113" spans="3:10" x14ac:dyDescent="0.3">
      <c r="C113" s="2"/>
      <c r="D113" s="2"/>
      <c r="E113" s="2"/>
      <c r="F113" s="2"/>
      <c r="G113" s="2"/>
      <c r="H113" s="2"/>
      <c r="I113" s="2"/>
      <c r="J113" s="2"/>
    </row>
    <row r="114" spans="3:10" ht="15" thickBot="1" x14ac:dyDescent="0.35">
      <c r="C114" s="5"/>
      <c r="D114" s="5"/>
      <c r="E114" s="5"/>
      <c r="F114" s="5"/>
      <c r="G114" s="5"/>
      <c r="H114" s="5"/>
      <c r="I114" s="5"/>
      <c r="J114" s="5"/>
    </row>
    <row r="115" spans="3:10" x14ac:dyDescent="0.3">
      <c r="C115" s="32"/>
      <c r="D115" s="2"/>
    </row>
    <row r="116" spans="3:10" x14ac:dyDescent="0.3">
      <c r="D116" s="2"/>
    </row>
    <row r="117" spans="3:10" x14ac:dyDescent="0.3">
      <c r="D117" s="2"/>
    </row>
    <row r="118" spans="3:10" x14ac:dyDescent="0.3">
      <c r="D118" s="2"/>
    </row>
    <row r="119" spans="3:10" x14ac:dyDescent="0.3">
      <c r="C119" s="32"/>
      <c r="D119" s="2"/>
    </row>
    <row r="120" spans="3:10" x14ac:dyDescent="0.3">
      <c r="D120" s="2"/>
    </row>
    <row r="121" spans="3:10" x14ac:dyDescent="0.3">
      <c r="D121" s="2"/>
    </row>
    <row r="122" spans="3:10" x14ac:dyDescent="0.3">
      <c r="D122" s="2"/>
    </row>
    <row r="123" spans="3:10" x14ac:dyDescent="0.3">
      <c r="C123" s="32"/>
      <c r="D123" s="2"/>
    </row>
    <row r="124" spans="3:10" x14ac:dyDescent="0.3">
      <c r="D124" s="2"/>
    </row>
    <row r="125" spans="3:10" x14ac:dyDescent="0.3">
      <c r="D125" s="2"/>
    </row>
    <row r="126" spans="3:10" x14ac:dyDescent="0.3">
      <c r="D126" s="2"/>
    </row>
    <row r="127" spans="3:10" x14ac:dyDescent="0.3">
      <c r="C127" s="32"/>
      <c r="D127" s="2"/>
    </row>
    <row r="128" spans="3:10" x14ac:dyDescent="0.3">
      <c r="D128" s="2"/>
    </row>
    <row r="129" spans="3:4" x14ac:dyDescent="0.3">
      <c r="D129" s="2"/>
    </row>
    <row r="131" spans="3:4" x14ac:dyDescent="0.3">
      <c r="C131" s="32"/>
    </row>
    <row r="135" spans="3:4" x14ac:dyDescent="0.3">
      <c r="C135" s="32"/>
    </row>
    <row r="139" spans="3:4" x14ac:dyDescent="0.3">
      <c r="C139" s="32"/>
    </row>
    <row r="143" spans="3:4" x14ac:dyDescent="0.3">
      <c r="C143" s="32"/>
    </row>
    <row r="147" spans="3:3" x14ac:dyDescent="0.3">
      <c r="C147" s="32"/>
    </row>
    <row r="151" spans="3:3" x14ac:dyDescent="0.3">
      <c r="C151" s="32"/>
    </row>
    <row r="155" spans="3:3" x14ac:dyDescent="0.3">
      <c r="C155" s="32"/>
    </row>
    <row r="159" spans="3:3" x14ac:dyDescent="0.3">
      <c r="C159" s="32"/>
    </row>
    <row r="163" spans="3:3" x14ac:dyDescent="0.3">
      <c r="C163" s="32"/>
    </row>
    <row r="167" spans="3:3" x14ac:dyDescent="0.3">
      <c r="C167" s="32"/>
    </row>
    <row r="171" spans="3:3" x14ac:dyDescent="0.3">
      <c r="C171" s="32"/>
    </row>
    <row r="175" spans="3:3" x14ac:dyDescent="0.3">
      <c r="C175" s="32"/>
    </row>
    <row r="179" spans="3:3" x14ac:dyDescent="0.3">
      <c r="C179" s="32"/>
    </row>
    <row r="183" spans="3:3" x14ac:dyDescent="0.3">
      <c r="C183" s="32"/>
    </row>
    <row r="187" spans="3:3" x14ac:dyDescent="0.3">
      <c r="C187" s="32"/>
    </row>
    <row r="191" spans="3:3" x14ac:dyDescent="0.3">
      <c r="C191" s="32"/>
    </row>
    <row r="195" spans="3:3" x14ac:dyDescent="0.3">
      <c r="C195" s="32"/>
    </row>
    <row r="199" spans="3:3" x14ac:dyDescent="0.3">
      <c r="C199" s="32"/>
    </row>
    <row r="203" spans="3:3" x14ac:dyDescent="0.3">
      <c r="C203" s="32"/>
    </row>
    <row r="207" spans="3:3" x14ac:dyDescent="0.3">
      <c r="C207" s="32"/>
    </row>
    <row r="211" spans="3:3" x14ac:dyDescent="0.3">
      <c r="C211" s="32"/>
    </row>
    <row r="215" spans="3:3" x14ac:dyDescent="0.3">
      <c r="C215" s="32"/>
    </row>
    <row r="219" spans="3:3" x14ac:dyDescent="0.3">
      <c r="C219" s="32"/>
    </row>
    <row r="223" spans="3:3" x14ac:dyDescent="0.3">
      <c r="C223" s="32"/>
    </row>
    <row r="227" spans="3:3" x14ac:dyDescent="0.3">
      <c r="C227" s="32"/>
    </row>
    <row r="231" spans="3:3" x14ac:dyDescent="0.3">
      <c r="C231" s="32"/>
    </row>
    <row r="235" spans="3:3" x14ac:dyDescent="0.3">
      <c r="C235" s="32"/>
    </row>
    <row r="239" spans="3:3" x14ac:dyDescent="0.3">
      <c r="C239" s="32"/>
    </row>
    <row r="243" spans="3:3" x14ac:dyDescent="0.3">
      <c r="C243" s="32"/>
    </row>
    <row r="247" spans="3:3" x14ac:dyDescent="0.3">
      <c r="C247" s="32"/>
    </row>
    <row r="251" spans="3:3" x14ac:dyDescent="0.3">
      <c r="C251" s="32"/>
    </row>
    <row r="255" spans="3:3" x14ac:dyDescent="0.3">
      <c r="C255" s="32"/>
    </row>
    <row r="259" spans="3:3" x14ac:dyDescent="0.3">
      <c r="C259" s="32"/>
    </row>
    <row r="263" spans="3:3" x14ac:dyDescent="0.3">
      <c r="C263" s="32"/>
    </row>
    <row r="267" spans="3:3" x14ac:dyDescent="0.3">
      <c r="C267" s="32"/>
    </row>
    <row r="271" spans="3:3" x14ac:dyDescent="0.3">
      <c r="C271" s="32"/>
    </row>
    <row r="275" spans="3:3" x14ac:dyDescent="0.3">
      <c r="C275" s="32"/>
    </row>
    <row r="279" spans="3:3" x14ac:dyDescent="0.3">
      <c r="C279" s="32"/>
    </row>
    <row r="283" spans="3:3" x14ac:dyDescent="0.3">
      <c r="C283" s="32"/>
    </row>
    <row r="287" spans="3:3" x14ac:dyDescent="0.3">
      <c r="C287" s="32"/>
    </row>
    <row r="291" spans="3:3" x14ac:dyDescent="0.3">
      <c r="C291" s="32"/>
    </row>
    <row r="295" spans="3:3" x14ac:dyDescent="0.3">
      <c r="C295" s="32"/>
    </row>
    <row r="299" spans="3:3" x14ac:dyDescent="0.3">
      <c r="C299" s="32"/>
    </row>
    <row r="303" spans="3:3" x14ac:dyDescent="0.3">
      <c r="C303" s="32"/>
    </row>
    <row r="307" spans="3:3" x14ac:dyDescent="0.3">
      <c r="C307" s="32"/>
    </row>
    <row r="311" spans="3:3" x14ac:dyDescent="0.3">
      <c r="C311" s="32"/>
    </row>
    <row r="315" spans="3:3" x14ac:dyDescent="0.3">
      <c r="C315" s="32"/>
    </row>
    <row r="319" spans="3:3" x14ac:dyDescent="0.3">
      <c r="C319" s="32"/>
    </row>
    <row r="323" spans="3:3" x14ac:dyDescent="0.3">
      <c r="C323" s="32"/>
    </row>
    <row r="327" spans="3:3" x14ac:dyDescent="0.3">
      <c r="C327" s="32"/>
    </row>
    <row r="331" spans="3:3" x14ac:dyDescent="0.3">
      <c r="C331" s="32"/>
    </row>
    <row r="335" spans="3:3" x14ac:dyDescent="0.3">
      <c r="C335" s="32"/>
    </row>
    <row r="339" spans="3:3" x14ac:dyDescent="0.3">
      <c r="C339" s="32"/>
    </row>
    <row r="343" spans="3:3" x14ac:dyDescent="0.3">
      <c r="C343" s="32"/>
    </row>
    <row r="347" spans="3:3" x14ac:dyDescent="0.3">
      <c r="C347" s="32"/>
    </row>
    <row r="351" spans="3:3" x14ac:dyDescent="0.3">
      <c r="C351" s="32"/>
    </row>
    <row r="355" spans="3:3" x14ac:dyDescent="0.3">
      <c r="C355" s="32"/>
    </row>
    <row r="359" spans="3:3" x14ac:dyDescent="0.3">
      <c r="C359" s="32"/>
    </row>
    <row r="363" spans="3:3" x14ac:dyDescent="0.3">
      <c r="C363" s="32"/>
    </row>
    <row r="367" spans="3:3" x14ac:dyDescent="0.3">
      <c r="C367" s="32"/>
    </row>
    <row r="371" spans="3:3" x14ac:dyDescent="0.3">
      <c r="C371" s="32"/>
    </row>
    <row r="375" spans="3:3" x14ac:dyDescent="0.3">
      <c r="C375" s="32"/>
    </row>
    <row r="379" spans="3:3" x14ac:dyDescent="0.3">
      <c r="C379" s="32"/>
    </row>
    <row r="383" spans="3:3" x14ac:dyDescent="0.3">
      <c r="C383" s="32"/>
    </row>
    <row r="387" spans="3:3" x14ac:dyDescent="0.3">
      <c r="C387" s="32"/>
    </row>
    <row r="391" spans="3:3" x14ac:dyDescent="0.3">
      <c r="C391" s="32"/>
    </row>
    <row r="395" spans="3:3" x14ac:dyDescent="0.3">
      <c r="C395" s="32"/>
    </row>
    <row r="399" spans="3:3" x14ac:dyDescent="0.3">
      <c r="C399" s="32"/>
    </row>
    <row r="403" spans="3:3" x14ac:dyDescent="0.3">
      <c r="C403" s="32"/>
    </row>
    <row r="407" spans="3:3" x14ac:dyDescent="0.3">
      <c r="C407" s="32"/>
    </row>
  </sheetData>
  <mergeCells count="1">
    <mergeCell ref="B2:Q3"/>
  </mergeCells>
  <phoneticPr fontId="11" type="noConversion"/>
  <conditionalFormatting sqref="M6:M110">
    <cfRule type="cellIs" dxfId="15" priority="1" operator="equal">
      <formula>"Paid All"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93FF-BB1C-4CBD-B74B-9AA96FE30754}">
  <dimension ref="B1:Q136"/>
  <sheetViews>
    <sheetView zoomScale="74" zoomScaleNormal="100" workbookViewId="0">
      <selection activeCell="C105" sqref="C105:L109"/>
    </sheetView>
  </sheetViews>
  <sheetFormatPr defaultRowHeight="14.4" x14ac:dyDescent="0.3"/>
  <cols>
    <col min="2" max="2" width="7.5546875" customWidth="1"/>
    <col min="3" max="3" width="27.6640625" customWidth="1"/>
    <col min="4" max="5" width="18" customWidth="1"/>
    <col min="6" max="6" width="15.109375" customWidth="1"/>
    <col min="7" max="7" width="20.6640625" customWidth="1"/>
    <col min="8" max="8" width="20.88671875" customWidth="1"/>
    <col min="9" max="9" width="8.88671875" hidden="1" customWidth="1"/>
    <col min="10" max="10" width="24.44140625" bestFit="1" customWidth="1"/>
    <col min="11" max="11" width="20.88671875" bestFit="1" customWidth="1"/>
    <col min="12" max="12" width="17.44140625" bestFit="1" customWidth="1"/>
    <col min="13" max="13" width="19.44140625" bestFit="1" customWidth="1"/>
    <col min="14" max="14" width="19.21875" bestFit="1" customWidth="1"/>
    <col min="15" max="16" width="18.109375" bestFit="1" customWidth="1"/>
    <col min="17" max="17" width="18.33203125" hidden="1" customWidth="1"/>
    <col min="21" max="21" width="13.5546875" customWidth="1"/>
    <col min="24" max="24" width="13" customWidth="1"/>
  </cols>
  <sheetData>
    <row r="1" spans="2:15" ht="15" thickBot="1" x14ac:dyDescent="0.35"/>
    <row r="2" spans="2:15" ht="14.4" customHeight="1" x14ac:dyDescent="0.3">
      <c r="B2" s="139" t="s">
        <v>8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1"/>
    </row>
    <row r="3" spans="2:15" ht="14.4" customHeight="1" x14ac:dyDescent="0.3"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4"/>
    </row>
    <row r="4" spans="2:15" x14ac:dyDescent="0.3">
      <c r="B4" s="37" t="s">
        <v>328</v>
      </c>
      <c r="C4" t="s">
        <v>333</v>
      </c>
      <c r="D4" t="s">
        <v>13</v>
      </c>
      <c r="E4" s="32" t="s">
        <v>342</v>
      </c>
      <c r="F4" s="30" t="s">
        <v>343</v>
      </c>
      <c r="G4" t="s">
        <v>336</v>
      </c>
      <c r="H4" t="s">
        <v>346</v>
      </c>
      <c r="I4" t="s">
        <v>350</v>
      </c>
      <c r="J4" s="30" t="s">
        <v>340</v>
      </c>
      <c r="K4" s="54" t="s">
        <v>335</v>
      </c>
      <c r="L4" s="54" t="s">
        <v>344</v>
      </c>
      <c r="M4" s="52" t="s">
        <v>337</v>
      </c>
      <c r="N4" s="2"/>
      <c r="O4" s="3"/>
    </row>
    <row r="5" spans="2:15" x14ac:dyDescent="0.3">
      <c r="B5" s="1">
        <v>1</v>
      </c>
      <c r="C5" s="2" t="str">
        <f>IR!A2</f>
        <v>INV-2026-001</v>
      </c>
      <c r="D5" s="2" t="str">
        <f>VLOOKUP(Table4[[#This Row],[Invoice Number]],PR!$D$6:$I$110,2)</f>
        <v>Oliver Bennett</v>
      </c>
      <c r="E5" s="27">
        <f>VLOOKUP(Table4[[#This Row],[Invoice Number]],PR!$D$6:$I$110,3)</f>
        <v>46311</v>
      </c>
      <c r="F5" s="2">
        <f>VLOOKUP(Table4[[#This Row],[Invoice Number]],PR!$D$6:$I$110,4)</f>
        <v>450</v>
      </c>
      <c r="G5" s="2" t="str">
        <f>VLOOKUP(Table4[[#This Row],[Invoice Number]],PR!$D$6:$I$110,5)</f>
        <v>Office supplies</v>
      </c>
      <c r="H5" s="2" t="str">
        <f>VLOOKUP(Table4[[#This Row],[Invoice Number]],PR!$D$6:$I$110,6)</f>
        <v>PAY-7001</v>
      </c>
      <c r="I5" s="31"/>
      <c r="J5" s="59">
        <f>VLOOKUP(Table4[[#This Row],[Invoice Number]],PR!$D$6:$M$110,9)</f>
        <v>225</v>
      </c>
      <c r="K5" s="59">
        <f>VLOOKUP(Table4[[#This Row],[Invoice Number]],PR!$D$6:$M$110,10)</f>
        <v>225</v>
      </c>
      <c r="L5" s="59">
        <f ca="1">PR!N6</f>
        <v>225</v>
      </c>
      <c r="M5" s="2">
        <v>30</v>
      </c>
      <c r="N5" s="2"/>
      <c r="O5" s="3"/>
    </row>
    <row r="6" spans="2:15" x14ac:dyDescent="0.3">
      <c r="B6" s="1">
        <f t="shared" ref="B6:B40" si="0">B5+1</f>
        <v>2</v>
      </c>
      <c r="C6" s="2" t="str">
        <f>IR!A3</f>
        <v>INV-2026-002</v>
      </c>
      <c r="D6" s="2" t="str">
        <f>VLOOKUP(Table4[[#This Row],[Invoice Number]],PR!$D$6:$I$110,2)</f>
        <v>Amelia Carter</v>
      </c>
      <c r="E6" s="27">
        <f>VLOOKUP(Table4[[#This Row],[Invoice Number]],PR!$D$6:$I$110,3)</f>
        <v>46254</v>
      </c>
      <c r="F6" s="23">
        <f>VLOOKUP(Table4[[#This Row],[Invoice Number]],PR!$D$6:$I$110,4)</f>
        <v>1250.5</v>
      </c>
      <c r="G6" s="23" t="str">
        <f>VLOOKUP(Table4[[#This Row],[Invoice Number]],PR!$D$6:$I$110,5)</f>
        <v>Consulting services</v>
      </c>
      <c r="H6" s="48" t="str">
        <f>VLOOKUP(Table4[[#This Row],[Invoice Number]],PR!$D$6:$I$110,6)</f>
        <v>PAY-7002</v>
      </c>
      <c r="I6" s="31"/>
      <c r="J6" s="59">
        <f>VLOOKUP(Table4[[#This Row],[Invoice Number]],PR!$D$6:$M$110,9)</f>
        <v>625.25</v>
      </c>
      <c r="K6" s="59">
        <f>VLOOKUP(Table4[[#This Row],[Invoice Number]],PR!$D$6:$M$110,10)</f>
        <v>625.25</v>
      </c>
      <c r="L6" s="59">
        <f ca="1">PR!N7</f>
        <v>731.54250000000002</v>
      </c>
      <c r="M6" s="2">
        <v>30</v>
      </c>
      <c r="N6" s="2"/>
      <c r="O6" s="3"/>
    </row>
    <row r="7" spans="2:15" x14ac:dyDescent="0.3">
      <c r="B7" s="1">
        <f t="shared" si="0"/>
        <v>3</v>
      </c>
      <c r="C7" s="2" t="str">
        <f>IR!A4</f>
        <v>INV-2026-003</v>
      </c>
      <c r="D7" s="2" t="str">
        <f>VLOOKUP(Table4[[#This Row],[Invoice Number]],PR!$D$6:$I$110,2)</f>
        <v>George Mitchell</v>
      </c>
      <c r="E7" s="27">
        <f>VLOOKUP(Table4[[#This Row],[Invoice Number]],PR!$D$6:$I$110,3)</f>
        <v>46259</v>
      </c>
      <c r="F7" s="23">
        <f>VLOOKUP(Table4[[#This Row],[Invoice Number]],PR!$D$6:$I$110,4)</f>
        <v>785.25</v>
      </c>
      <c r="G7" s="23" t="str">
        <f>VLOOKUP(Table4[[#This Row],[Invoice Number]],PR!$D$6:$I$110,5)</f>
        <v>Equipment purchase</v>
      </c>
      <c r="H7" s="48" t="str">
        <f>VLOOKUP(Table4[[#This Row],[Invoice Number]],PR!$D$6:$I$110,6)</f>
        <v>PAY-7003</v>
      </c>
      <c r="I7" s="31"/>
      <c r="J7" s="59">
        <f>VLOOKUP(Table4[[#This Row],[Invoice Number]],PR!$D$6:$M$110,9)</f>
        <v>785.25</v>
      </c>
      <c r="K7" s="59" t="str">
        <f>VLOOKUP(Table4[[#This Row],[Invoice Number]],PR!$D$6:$M$110,10)</f>
        <v>Paid All</v>
      </c>
      <c r="L7" s="59">
        <f ca="1">PR!N8</f>
        <v>785.25</v>
      </c>
      <c r="M7" s="2">
        <v>30</v>
      </c>
      <c r="N7" s="2"/>
      <c r="O7" s="3"/>
    </row>
    <row r="8" spans="2:15" x14ac:dyDescent="0.3">
      <c r="B8" s="1">
        <f t="shared" si="0"/>
        <v>4</v>
      </c>
      <c r="C8" s="2" t="str">
        <f>IR!A5</f>
        <v>INV-2026-004</v>
      </c>
      <c r="D8" s="2" t="str">
        <f>VLOOKUP(Table4[[#This Row],[Invoice Number]],PR!$D$6:$I$110,2)</f>
        <v>Isla Thompson</v>
      </c>
      <c r="E8" s="27">
        <f>VLOOKUP(Table4[[#This Row],[Invoice Number]],PR!$D$6:$I$110,3)</f>
        <v>46267</v>
      </c>
      <c r="F8" s="23">
        <f>VLOOKUP(Table4[[#This Row],[Invoice Number]],PR!$D$6:$I$110,4)</f>
        <v>320</v>
      </c>
      <c r="G8" s="23" t="str">
        <f>VLOOKUP(Table4[[#This Row],[Invoice Number]],PR!$D$6:$I$110,5)</f>
        <v>Monthly subscription</v>
      </c>
      <c r="H8" s="48" t="str">
        <f>VLOOKUP(Table4[[#This Row],[Invoice Number]],PR!$D$6:$I$110,6)</f>
        <v>PAY-7004</v>
      </c>
      <c r="I8" s="31"/>
      <c r="J8" s="59">
        <f>VLOOKUP(Table4[[#This Row],[Invoice Number]],PR!$D$6:$M$110,9)</f>
        <v>160</v>
      </c>
      <c r="K8" s="59">
        <f>VLOOKUP(Table4[[#This Row],[Invoice Number]],PR!$D$6:$M$110,10)</f>
        <v>160</v>
      </c>
      <c r="L8" s="59">
        <f ca="1">PR!N9</f>
        <v>172.8</v>
      </c>
      <c r="M8" s="2">
        <v>30</v>
      </c>
      <c r="N8" s="2"/>
      <c r="O8" s="3"/>
    </row>
    <row r="9" spans="2:15" x14ac:dyDescent="0.3">
      <c r="B9" s="1">
        <f t="shared" si="0"/>
        <v>5</v>
      </c>
      <c r="C9" s="2" t="str">
        <f>IR!A6</f>
        <v>INV-2026-005</v>
      </c>
      <c r="D9" s="2" t="str">
        <f>VLOOKUP(Table4[[#This Row],[Invoice Number]],PR!$D$6:$I$110,2)</f>
        <v>Harry Wilson</v>
      </c>
      <c r="E9" s="27">
        <f>VLOOKUP(Table4[[#This Row],[Invoice Number]],PR!$D$6:$I$110,3)</f>
        <v>46270</v>
      </c>
      <c r="F9" s="23">
        <f>VLOOKUP(Table4[[#This Row],[Invoice Number]],PR!$D$6:$I$110,4)</f>
        <v>2100</v>
      </c>
      <c r="G9" s="23" t="str">
        <f>VLOOKUP(Table4[[#This Row],[Invoice Number]],PR!$D$6:$I$110,5)</f>
        <v>Project delivery</v>
      </c>
      <c r="H9" s="48" t="str">
        <f>VLOOKUP(Table4[[#This Row],[Invoice Number]],PR!$D$6:$I$110,6)</f>
        <v>PAY-7005</v>
      </c>
      <c r="I9" s="31"/>
      <c r="J9" s="59">
        <f>VLOOKUP(Table4[[#This Row],[Invoice Number]],PR!$D$6:$M$110,9)</f>
        <v>1050</v>
      </c>
      <c r="K9" s="59">
        <f>VLOOKUP(Table4[[#This Row],[Invoice Number]],PR!$D$6:$M$110,10)</f>
        <v>1050</v>
      </c>
      <c r="L9" s="59">
        <f ca="1">PR!N10</f>
        <v>1134</v>
      </c>
      <c r="M9" s="2">
        <v>30</v>
      </c>
      <c r="N9" s="2"/>
      <c r="O9" s="3"/>
    </row>
    <row r="10" spans="2:15" x14ac:dyDescent="0.3">
      <c r="B10" s="1">
        <f t="shared" si="0"/>
        <v>6</v>
      </c>
      <c r="C10" s="2" t="str">
        <f>IR!A7</f>
        <v>INV-2026-006</v>
      </c>
      <c r="D10" s="2" t="str">
        <f>VLOOKUP(Table4[[#This Row],[Invoice Number]],PR!$D$6:$I$110,2)</f>
        <v>Ava Robinson</v>
      </c>
      <c r="E10" s="27">
        <f>VLOOKUP(Table4[[#This Row],[Invoice Number]],PR!$D$6:$I$110,3)</f>
        <v>46275</v>
      </c>
      <c r="F10" s="23">
        <f>VLOOKUP(Table4[[#This Row],[Invoice Number]],PR!$D$6:$I$110,4)</f>
        <v>675.8</v>
      </c>
      <c r="G10" s="23" t="str">
        <f>VLOOKUP(Table4[[#This Row],[Invoice Number]],PR!$D$6:$I$110,5)</f>
        <v>Marketing services</v>
      </c>
      <c r="H10" s="48" t="str">
        <f>VLOOKUP(Table4[[#This Row],[Invoice Number]],PR!$D$6:$I$110,6)</f>
        <v>PAY-7006</v>
      </c>
      <c r="I10" s="31"/>
      <c r="J10" s="59">
        <f>VLOOKUP(Table4[[#This Row],[Invoice Number]],PR!$D$6:$M$110,9)</f>
        <v>337.9</v>
      </c>
      <c r="K10" s="59">
        <f>VLOOKUP(Table4[[#This Row],[Invoice Number]],PR!$D$6:$M$110,10)</f>
        <v>337.9</v>
      </c>
      <c r="L10" s="59">
        <f ca="1">PR!N11</f>
        <v>354.79499999999996</v>
      </c>
      <c r="M10" s="2">
        <v>30</v>
      </c>
      <c r="N10" s="2"/>
      <c r="O10" s="3"/>
    </row>
    <row r="11" spans="2:15" x14ac:dyDescent="0.3">
      <c r="B11" s="1">
        <f t="shared" si="0"/>
        <v>7</v>
      </c>
      <c r="C11" s="2" t="str">
        <f>IR!A8</f>
        <v>INV-2026-007</v>
      </c>
      <c r="D11" s="2" t="str">
        <f>VLOOKUP(Table4[[#This Row],[Invoice Number]],PR!$D$6:$I$110,2)</f>
        <v>Noah Walker</v>
      </c>
      <c r="E11" s="27">
        <f>VLOOKUP(Table4[[#This Row],[Invoice Number]],PR!$D$6:$I$110,3)</f>
        <v>46277</v>
      </c>
      <c r="F11" s="23">
        <f>VLOOKUP(Table4[[#This Row],[Invoice Number]],PR!$D$6:$I$110,4)</f>
        <v>540</v>
      </c>
      <c r="G11" s="23" t="str">
        <f>VLOOKUP(Table4[[#This Row],[Invoice Number]],PR!$D$6:$I$110,5)</f>
        <v>Maintenance services</v>
      </c>
      <c r="H11" s="48" t="str">
        <f>VLOOKUP(Table4[[#This Row],[Invoice Number]],PR!$D$6:$I$110,6)</f>
        <v>PAY-7007</v>
      </c>
      <c r="I11" s="31"/>
      <c r="J11" s="59">
        <f>VLOOKUP(Table4[[#This Row],[Invoice Number]],PR!$D$6:$M$110,9)</f>
        <v>540</v>
      </c>
      <c r="K11" s="59" t="str">
        <f>VLOOKUP(Table4[[#This Row],[Invoice Number]],PR!$D$6:$M$110,10)</f>
        <v>Paid All</v>
      </c>
      <c r="L11" s="59">
        <f ca="1">PR!N12</f>
        <v>540</v>
      </c>
      <c r="M11" s="2">
        <v>30</v>
      </c>
      <c r="N11" s="2"/>
      <c r="O11" s="3"/>
    </row>
    <row r="12" spans="2:15" x14ac:dyDescent="0.3">
      <c r="B12" s="1">
        <f t="shared" si="0"/>
        <v>8</v>
      </c>
      <c r="C12" s="2" t="str">
        <f>IR!A9</f>
        <v>INV-2026-008</v>
      </c>
      <c r="D12" s="2" t="str">
        <f>VLOOKUP(Table4[[#This Row],[Invoice Number]],PR!$D$6:$I$110,2)</f>
        <v>Grace Hall</v>
      </c>
      <c r="E12" s="27">
        <f>VLOOKUP(Table4[[#This Row],[Invoice Number]],PR!$D$6:$I$110,3)</f>
        <v>46280</v>
      </c>
      <c r="F12" s="23">
        <f>VLOOKUP(Table4[[#This Row],[Invoice Number]],PR!$D$6:$I$110,4)</f>
        <v>1890.75</v>
      </c>
      <c r="G12" s="23" t="str">
        <f>VLOOKUP(Table4[[#This Row],[Invoice Number]],PR!$D$6:$I$110,5)</f>
        <v>Software licence</v>
      </c>
      <c r="H12" s="48" t="str">
        <f>VLOOKUP(Table4[[#This Row],[Invoice Number]],PR!$D$6:$I$110,6)</f>
        <v>PAY-7008</v>
      </c>
      <c r="I12" s="31"/>
      <c r="J12" s="59">
        <f>VLOOKUP(Table4[[#This Row],[Invoice Number]],PR!$D$6:$M$110,9)</f>
        <v>945.375</v>
      </c>
      <c r="K12" s="59">
        <f>VLOOKUP(Table4[[#This Row],[Invoice Number]],PR!$D$6:$M$110,10)</f>
        <v>945.375</v>
      </c>
      <c r="L12" s="59">
        <f ca="1">PR!N13</f>
        <v>964.28250000000003</v>
      </c>
      <c r="M12" s="2">
        <v>30</v>
      </c>
      <c r="N12" s="2"/>
      <c r="O12" s="3"/>
    </row>
    <row r="13" spans="2:15" x14ac:dyDescent="0.3">
      <c r="B13" s="1">
        <f t="shared" si="0"/>
        <v>9</v>
      </c>
      <c r="C13" s="2" t="str">
        <f>IR!A10</f>
        <v>INV-2026-009</v>
      </c>
      <c r="D13" s="2" t="str">
        <f>VLOOKUP(Table4[[#This Row],[Invoice Number]],PR!$D$6:$I$110,2)</f>
        <v>Jack Young</v>
      </c>
      <c r="E13" s="27">
        <f>VLOOKUP(Table4[[#This Row],[Invoice Number]],PR!$D$6:$I$110,3)</f>
        <v>46283</v>
      </c>
      <c r="F13" s="23">
        <f>VLOOKUP(Table4[[#This Row],[Invoice Number]],PR!$D$6:$I$110,4)</f>
        <v>265.5</v>
      </c>
      <c r="G13" s="23" t="str">
        <f>VLOOKUP(Table4[[#This Row],[Invoice Number]],PR!$D$6:$I$110,5)</f>
        <v>Stationery order</v>
      </c>
      <c r="H13" s="48" t="str">
        <f>VLOOKUP(Table4[[#This Row],[Invoice Number]],PR!$D$6:$I$110,6)</f>
        <v>PAY-7009</v>
      </c>
      <c r="I13" s="31"/>
      <c r="J13" s="59">
        <f>VLOOKUP(Table4[[#This Row],[Invoice Number]],PR!$D$6:$M$110,9)</f>
        <v>265.5</v>
      </c>
      <c r="K13" s="59" t="str">
        <f>VLOOKUP(Table4[[#This Row],[Invoice Number]],PR!$D$6:$M$110,10)</f>
        <v>Paid All</v>
      </c>
      <c r="L13" s="59">
        <f ca="1">PR!N14</f>
        <v>265.5</v>
      </c>
      <c r="M13" s="2">
        <v>30</v>
      </c>
      <c r="N13" s="2"/>
      <c r="O13" s="3"/>
    </row>
    <row r="14" spans="2:15" x14ac:dyDescent="0.3">
      <c r="B14" s="1">
        <f t="shared" si="0"/>
        <v>10</v>
      </c>
      <c r="C14" s="2" t="str">
        <f>IR!A11</f>
        <v>INV-2026-010</v>
      </c>
      <c r="D14" s="2" t="str">
        <f>VLOOKUP(Table4[[#This Row],[Invoice Number]],PR!$D$6:$I$110,2)</f>
        <v>Lily Allen</v>
      </c>
      <c r="E14" s="27">
        <f>VLOOKUP(Table4[[#This Row],[Invoice Number]],PR!$D$6:$I$110,3)</f>
        <v>46285</v>
      </c>
      <c r="F14" s="23">
        <f>VLOOKUP(Table4[[#This Row],[Invoice Number]],PR!$D$6:$I$110,4)</f>
        <v>980</v>
      </c>
      <c r="G14" s="23" t="str">
        <f>VLOOKUP(Table4[[#This Row],[Invoice Number]],PR!$D$6:$I$110,5)</f>
        <v>Training services</v>
      </c>
      <c r="H14" s="48" t="str">
        <f>VLOOKUP(Table4[[#This Row],[Invoice Number]],PR!$D$6:$I$110,6)</f>
        <v>PAY-7010</v>
      </c>
      <c r="I14" s="31"/>
      <c r="J14" s="59">
        <f>VLOOKUP(Table4[[#This Row],[Invoice Number]],PR!$D$6:$M$110,9)</f>
        <v>490</v>
      </c>
      <c r="K14" s="59">
        <f>VLOOKUP(Table4[[#This Row],[Invoice Number]],PR!$D$6:$M$110,10)</f>
        <v>490</v>
      </c>
      <c r="L14" s="59">
        <f ca="1">PR!N15</f>
        <v>490</v>
      </c>
      <c r="M14" s="2">
        <v>30</v>
      </c>
      <c r="N14" s="2"/>
      <c r="O14" s="3"/>
    </row>
    <row r="15" spans="2:15" x14ac:dyDescent="0.3">
      <c r="B15" s="1">
        <f t="shared" si="0"/>
        <v>11</v>
      </c>
      <c r="C15" s="2" t="str">
        <f>IR!A12</f>
        <v>INV-2026-011</v>
      </c>
      <c r="D15" s="2" t="str">
        <f>VLOOKUP(Table4[[#This Row],[Invoice Number]],PR!$D$6:$I$110,2)</f>
        <v>Charlie King</v>
      </c>
      <c r="E15" s="27">
        <f>VLOOKUP(Table4[[#This Row],[Invoice Number]],PR!$D$6:$I$110,3)</f>
        <v>46287</v>
      </c>
      <c r="F15" s="23">
        <f>VLOOKUP(Table4[[#This Row],[Invoice Number]],PR!$D$6:$I$110,4)</f>
        <v>1450</v>
      </c>
      <c r="G15" s="23" t="str">
        <f>VLOOKUP(Table4[[#This Row],[Invoice Number]],PR!$D$6:$I$110,5)</f>
        <v>Consulting services</v>
      </c>
      <c r="H15" s="48" t="str">
        <f>VLOOKUP(Table4[[#This Row],[Invoice Number]],PR!$D$6:$I$110,6)</f>
        <v>PAY-7011</v>
      </c>
      <c r="I15" s="31"/>
      <c r="J15" s="59">
        <f>VLOOKUP(Table4[[#This Row],[Invoice Number]],PR!$D$6:$M$110,9)</f>
        <v>725</v>
      </c>
      <c r="K15" s="59">
        <f>VLOOKUP(Table4[[#This Row],[Invoice Number]],PR!$D$6:$M$110,10)</f>
        <v>725</v>
      </c>
      <c r="L15" s="59">
        <f ca="1">PR!N16</f>
        <v>725</v>
      </c>
      <c r="M15" s="2">
        <v>30</v>
      </c>
      <c r="N15" s="2"/>
      <c r="O15" s="3"/>
    </row>
    <row r="16" spans="2:15" x14ac:dyDescent="0.3">
      <c r="B16" s="1">
        <f t="shared" si="0"/>
        <v>12</v>
      </c>
      <c r="C16" s="2" t="str">
        <f>IR!A13</f>
        <v>INV-2026-012</v>
      </c>
      <c r="D16" s="2" t="str">
        <f>VLOOKUP(Table4[[#This Row],[Invoice Number]],PR!$D$6:$I$110,2)</f>
        <v>Mia Wright</v>
      </c>
      <c r="E16" s="27">
        <f>VLOOKUP(Table4[[#This Row],[Invoice Number]],PR!$D$6:$I$110,3)</f>
        <v>46290</v>
      </c>
      <c r="F16" s="23">
        <f>VLOOKUP(Table4[[#This Row],[Invoice Number]],PR!$D$6:$I$110,4)</f>
        <v>375.25</v>
      </c>
      <c r="G16" s="23" t="str">
        <f>VLOOKUP(Table4[[#This Row],[Invoice Number]],PR!$D$6:$I$110,5)</f>
        <v>Office supplies</v>
      </c>
      <c r="H16" s="48" t="str">
        <f>VLOOKUP(Table4[[#This Row],[Invoice Number]],PR!$D$6:$I$110,6)</f>
        <v>PAY-7012</v>
      </c>
      <c r="I16" s="31"/>
      <c r="J16" s="59">
        <f>VLOOKUP(Table4[[#This Row],[Invoice Number]],PR!$D$6:$M$110,9)</f>
        <v>187.625</v>
      </c>
      <c r="K16" s="59">
        <f>VLOOKUP(Table4[[#This Row],[Invoice Number]],PR!$D$6:$M$110,10)</f>
        <v>187.625</v>
      </c>
      <c r="L16" s="59">
        <f ca="1">PR!N17</f>
        <v>187.625</v>
      </c>
      <c r="M16" s="2">
        <v>30</v>
      </c>
      <c r="N16" s="2"/>
      <c r="O16" s="3"/>
    </row>
    <row r="17" spans="2:15" x14ac:dyDescent="0.3">
      <c r="B17" s="1">
        <f t="shared" si="0"/>
        <v>13</v>
      </c>
      <c r="C17" s="2" t="str">
        <f>IR!A14</f>
        <v>INV-2026-013</v>
      </c>
      <c r="D17" s="2" t="str">
        <f>VLOOKUP(Table4[[#This Row],[Invoice Number]],PR!$D$6:$I$110,2)</f>
        <v>Thomas Scott</v>
      </c>
      <c r="E17" s="27">
        <f>VLOOKUP(Table4[[#This Row],[Invoice Number]],PR!$D$6:$I$110,3)</f>
        <v>46293</v>
      </c>
      <c r="F17" s="23">
        <f>VLOOKUP(Table4[[#This Row],[Invoice Number]],PR!$D$6:$I$110,4)</f>
        <v>2750</v>
      </c>
      <c r="G17" s="23" t="str">
        <f>VLOOKUP(Table4[[#This Row],[Invoice Number]],PR!$D$6:$I$110,5)</f>
        <v>Equipment purchase</v>
      </c>
      <c r="H17" s="48" t="str">
        <f>VLOOKUP(Table4[[#This Row],[Invoice Number]],PR!$D$6:$I$110,6)</f>
        <v>PAY-7013</v>
      </c>
      <c r="I17" s="31"/>
      <c r="J17" s="59">
        <f>VLOOKUP(Table4[[#This Row],[Invoice Number]],PR!$D$6:$M$110,9)</f>
        <v>1375</v>
      </c>
      <c r="K17" s="59">
        <f>VLOOKUP(Table4[[#This Row],[Invoice Number]],PR!$D$6:$M$110,10)</f>
        <v>1375</v>
      </c>
      <c r="L17" s="59">
        <f ca="1">PR!N18</f>
        <v>1375</v>
      </c>
      <c r="M17" s="2">
        <v>30</v>
      </c>
      <c r="N17" s="2"/>
      <c r="O17" s="3"/>
    </row>
    <row r="18" spans="2:15" x14ac:dyDescent="0.3">
      <c r="B18" s="1">
        <f t="shared" si="0"/>
        <v>14</v>
      </c>
      <c r="C18" s="2" t="str">
        <f>IR!A15</f>
        <v>INV-2026-014</v>
      </c>
      <c r="D18" s="2" t="str">
        <f>VLOOKUP(Table4[[#This Row],[Invoice Number]],PR!$D$6:$I$110,2)</f>
        <v>Sophia Green</v>
      </c>
      <c r="E18" s="27">
        <f>VLOOKUP(Table4[[#This Row],[Invoice Number]],PR!$D$6:$I$110,3)</f>
        <v>46295</v>
      </c>
      <c r="F18" s="23">
        <f>VLOOKUP(Table4[[#This Row],[Invoice Number]],PR!$D$6:$I$110,4)</f>
        <v>625</v>
      </c>
      <c r="G18" s="23" t="str">
        <f>VLOOKUP(Table4[[#This Row],[Invoice Number]],PR!$D$6:$I$110,5)</f>
        <v>Monthly subscription</v>
      </c>
      <c r="H18" s="48" t="str">
        <f>VLOOKUP(Table4[[#This Row],[Invoice Number]],PR!$D$6:$I$110,6)</f>
        <v>PAY-7014</v>
      </c>
      <c r="I18" s="31"/>
      <c r="J18" s="59">
        <f>VLOOKUP(Table4[[#This Row],[Invoice Number]],PR!$D$6:$M$110,9)</f>
        <v>675</v>
      </c>
      <c r="K18" s="59">
        <f>VLOOKUP(Table4[[#This Row],[Invoice Number]],PR!$D$6:$M$110,10)</f>
        <v>-50</v>
      </c>
      <c r="L18" s="59">
        <f>PR!N19</f>
        <v>675</v>
      </c>
      <c r="M18" s="2">
        <v>30</v>
      </c>
      <c r="N18" s="2"/>
      <c r="O18" s="3"/>
    </row>
    <row r="19" spans="2:15" x14ac:dyDescent="0.3">
      <c r="B19" s="1">
        <f t="shared" si="0"/>
        <v>15</v>
      </c>
      <c r="C19" s="2" t="str">
        <f>IR!A16</f>
        <v>INV-2026-015</v>
      </c>
      <c r="D19" s="2" t="str">
        <f>VLOOKUP(Table4[[#This Row],[Invoice Number]],PR!$D$6:$I$110,2)</f>
        <v>Oscar Baker</v>
      </c>
      <c r="E19" s="27">
        <f>VLOOKUP(Table4[[#This Row],[Invoice Number]],PR!$D$6:$I$110,3)</f>
        <v>46175</v>
      </c>
      <c r="F19" s="23">
        <f>VLOOKUP(Table4[[#This Row],[Invoice Number]],PR!$D$6:$I$110,4)</f>
        <v>1120.8</v>
      </c>
      <c r="G19" s="23" t="str">
        <f>VLOOKUP(Table4[[#This Row],[Invoice Number]],PR!$D$6:$I$110,5)</f>
        <v>Project delivery</v>
      </c>
      <c r="H19" s="48" t="str">
        <f>VLOOKUP(Table4[[#This Row],[Invoice Number]],PR!$D$6:$I$110,6)</f>
        <v>PAY-7015</v>
      </c>
      <c r="I19" s="31"/>
      <c r="J19" s="59">
        <f>VLOOKUP(Table4[[#This Row],[Invoice Number]],PR!$D$6:$M$110,9)</f>
        <v>560.4</v>
      </c>
      <c r="K19" s="59">
        <f>VLOOKUP(Table4[[#This Row],[Invoice Number]],PR!$D$6:$M$110,10)</f>
        <v>560.4</v>
      </c>
      <c r="L19" s="59">
        <f ca="1">PR!N20</f>
        <v>773.35200000000009</v>
      </c>
      <c r="M19" s="2">
        <v>30</v>
      </c>
      <c r="N19" s="2"/>
      <c r="O19" s="3"/>
    </row>
    <row r="20" spans="2:15" x14ac:dyDescent="0.3">
      <c r="B20" s="1">
        <f t="shared" si="0"/>
        <v>16</v>
      </c>
      <c r="C20" s="2" t="str">
        <f>IR!A17</f>
        <v>INV-2026-016</v>
      </c>
      <c r="D20" s="2" t="str">
        <f>VLOOKUP(Table4[[#This Row],[Invoice Number]],PR!$D$6:$I$110,2)</f>
        <v>Emily Adams</v>
      </c>
      <c r="E20" s="27">
        <f>VLOOKUP(Table4[[#This Row],[Invoice Number]],PR!$D$6:$I$110,3)</f>
        <v>46299</v>
      </c>
      <c r="F20" s="23">
        <f>VLOOKUP(Table4[[#This Row],[Invoice Number]],PR!$D$6:$I$110,4)</f>
        <v>890</v>
      </c>
      <c r="G20" s="23" t="str">
        <f>VLOOKUP(Table4[[#This Row],[Invoice Number]],PR!$D$6:$I$110,5)</f>
        <v>Marketing services</v>
      </c>
      <c r="H20" s="48" t="str">
        <f>VLOOKUP(Table4[[#This Row],[Invoice Number]],PR!$D$6:$I$110,6)</f>
        <v>PAY-7016</v>
      </c>
      <c r="I20" s="31"/>
      <c r="J20" s="59">
        <f>VLOOKUP(Table4[[#This Row],[Invoice Number]],PR!$D$6:$M$110,9)</f>
        <v>445</v>
      </c>
      <c r="K20" s="59">
        <f>VLOOKUP(Table4[[#This Row],[Invoice Number]],PR!$D$6:$M$110,10)</f>
        <v>445</v>
      </c>
      <c r="L20" s="59">
        <f ca="1">PR!N21</f>
        <v>445</v>
      </c>
      <c r="M20" s="2">
        <v>30</v>
      </c>
      <c r="N20" s="2"/>
      <c r="O20" s="3"/>
    </row>
    <row r="21" spans="2:15" x14ac:dyDescent="0.3">
      <c r="B21" s="1">
        <f t="shared" si="0"/>
        <v>17</v>
      </c>
      <c r="C21" s="2" t="str">
        <f>IR!A18</f>
        <v>INV-2026-017</v>
      </c>
      <c r="D21" s="2" t="str">
        <f>VLOOKUP(Table4[[#This Row],[Invoice Number]],PR!$D$6:$I$110,2)</f>
        <v>William Nelson</v>
      </c>
      <c r="E21" s="27">
        <f>VLOOKUP(Table4[[#This Row],[Invoice Number]],PR!$D$6:$I$110,3)</f>
        <v>46301</v>
      </c>
      <c r="F21" s="23">
        <f>VLOOKUP(Table4[[#This Row],[Invoice Number]],PR!$D$6:$I$110,4)</f>
        <v>410.5</v>
      </c>
      <c r="G21" s="23" t="str">
        <f>VLOOKUP(Table4[[#This Row],[Invoice Number]],PR!$D$6:$I$110,5)</f>
        <v>Maintenance services</v>
      </c>
      <c r="H21" s="48" t="str">
        <f>VLOOKUP(Table4[[#This Row],[Invoice Number]],PR!$D$6:$I$110,6)</f>
        <v>PAY-7017</v>
      </c>
      <c r="I21" s="31"/>
      <c r="J21" s="59">
        <f>VLOOKUP(Table4[[#This Row],[Invoice Number]],PR!$D$6:$M$110,9)</f>
        <v>205.25</v>
      </c>
      <c r="K21" s="59">
        <f>VLOOKUP(Table4[[#This Row],[Invoice Number]],PR!$D$6:$M$110,10)</f>
        <v>205.25</v>
      </c>
      <c r="L21" s="59">
        <f ca="1">PR!N22</f>
        <v>205.25</v>
      </c>
      <c r="M21" s="2">
        <v>30</v>
      </c>
      <c r="N21" s="2"/>
      <c r="O21" s="3"/>
    </row>
    <row r="22" spans="2:15" x14ac:dyDescent="0.3">
      <c r="B22" s="1">
        <f t="shared" si="0"/>
        <v>18</v>
      </c>
      <c r="C22" s="2" t="str">
        <f>IR!A19</f>
        <v>INV-2026-018</v>
      </c>
      <c r="D22" s="2" t="str">
        <f>VLOOKUP(Table4[[#This Row],[Invoice Number]],PR!$D$6:$I$110,2)</f>
        <v>Ella Hill</v>
      </c>
      <c r="E22" s="27">
        <f>VLOOKUP(Table4[[#This Row],[Invoice Number]],PR!$D$6:$I$110,3)</f>
        <v>46303</v>
      </c>
      <c r="F22" s="23">
        <f>VLOOKUP(Table4[[#This Row],[Invoice Number]],PR!$D$6:$I$110,4)</f>
        <v>1675</v>
      </c>
      <c r="G22" s="23" t="str">
        <f>VLOOKUP(Table4[[#This Row],[Invoice Number]],PR!$D$6:$I$110,5)</f>
        <v>Software licence</v>
      </c>
      <c r="H22" s="48" t="str">
        <f>VLOOKUP(Table4[[#This Row],[Invoice Number]],PR!$D$6:$I$110,6)</f>
        <v>PAY-7018</v>
      </c>
      <c r="I22" s="31"/>
      <c r="J22" s="59">
        <f>VLOOKUP(Table4[[#This Row],[Invoice Number]],PR!$D$6:$M$110,9)</f>
        <v>1675</v>
      </c>
      <c r="K22" s="59" t="str">
        <f>VLOOKUP(Table4[[#This Row],[Invoice Number]],PR!$D$6:$M$110,10)</f>
        <v>Paid All</v>
      </c>
      <c r="L22" s="59">
        <f ca="1">PR!N23</f>
        <v>1675</v>
      </c>
      <c r="M22" s="2">
        <v>30</v>
      </c>
      <c r="N22" s="2"/>
      <c r="O22" s="3"/>
    </row>
    <row r="23" spans="2:15" x14ac:dyDescent="0.3">
      <c r="B23" s="1">
        <f t="shared" si="0"/>
        <v>19</v>
      </c>
      <c r="C23" s="2" t="str">
        <f>IR!A20</f>
        <v>INV-2026-019</v>
      </c>
      <c r="D23" s="2" t="str">
        <f>VLOOKUP(Table4[[#This Row],[Invoice Number]],PR!$D$6:$I$110,2)</f>
        <v>James Lewis</v>
      </c>
      <c r="E23" s="27">
        <f>VLOOKUP(Table4[[#This Row],[Invoice Number]],PR!$D$6:$I$110,3)</f>
        <v>46305</v>
      </c>
      <c r="F23" s="23">
        <f>VLOOKUP(Table4[[#This Row],[Invoice Number]],PR!$D$6:$I$110,4)</f>
        <v>295</v>
      </c>
      <c r="G23" s="23" t="str">
        <f>VLOOKUP(Table4[[#This Row],[Invoice Number]],PR!$D$6:$I$110,5)</f>
        <v>Stationery order</v>
      </c>
      <c r="H23" s="48" t="str">
        <f>VLOOKUP(Table4[[#This Row],[Invoice Number]],PR!$D$6:$I$110,6)</f>
        <v>PAY-7019</v>
      </c>
      <c r="I23" s="31"/>
      <c r="J23" s="59">
        <f>VLOOKUP(Table4[[#This Row],[Invoice Number]],PR!$D$6:$M$110,9)</f>
        <v>147.5</v>
      </c>
      <c r="K23" s="59">
        <f>VLOOKUP(Table4[[#This Row],[Invoice Number]],PR!$D$6:$M$110,10)</f>
        <v>147.5</v>
      </c>
      <c r="L23" s="59">
        <f ca="1">PR!N24</f>
        <v>147.5</v>
      </c>
      <c r="M23" s="2">
        <v>30</v>
      </c>
      <c r="N23" s="2"/>
      <c r="O23" s="3"/>
    </row>
    <row r="24" spans="2:15" x14ac:dyDescent="0.3">
      <c r="B24" s="1">
        <f t="shared" si="0"/>
        <v>20</v>
      </c>
      <c r="C24" s="2" t="str">
        <f>IR!A21</f>
        <v>INV-2026-020</v>
      </c>
      <c r="D24" s="2" t="str">
        <f>VLOOKUP(Table4[[#This Row],[Invoice Number]],PR!$D$6:$I$110,2)</f>
        <v>Freya Clark</v>
      </c>
      <c r="E24" s="27">
        <f>VLOOKUP(Table4[[#This Row],[Invoice Number]],PR!$D$6:$I$110,3)</f>
        <v>46307</v>
      </c>
      <c r="F24" s="23">
        <f>VLOOKUP(Table4[[#This Row],[Invoice Number]],PR!$D$6:$I$110,4)</f>
        <v>1350.25</v>
      </c>
      <c r="G24" s="23" t="str">
        <f>VLOOKUP(Table4[[#This Row],[Invoice Number]],PR!$D$6:$I$110,5)</f>
        <v>Training services</v>
      </c>
      <c r="H24" s="48" t="str">
        <f>VLOOKUP(Table4[[#This Row],[Invoice Number]],PR!$D$6:$I$110,6)</f>
        <v>PAY-7020</v>
      </c>
      <c r="I24" s="31"/>
      <c r="J24" s="59">
        <f>VLOOKUP(Table4[[#This Row],[Invoice Number]],PR!$D$6:$M$110,9)</f>
        <v>675.125</v>
      </c>
      <c r="K24" s="59">
        <f>VLOOKUP(Table4[[#This Row],[Invoice Number]],PR!$D$6:$M$110,10)</f>
        <v>675.125</v>
      </c>
      <c r="L24" s="59">
        <f ca="1">PR!N25</f>
        <v>675.125</v>
      </c>
      <c r="M24" s="2">
        <v>30</v>
      </c>
      <c r="N24" s="2"/>
      <c r="O24" s="3"/>
    </row>
    <row r="25" spans="2:15" x14ac:dyDescent="0.3">
      <c r="B25" s="1">
        <f t="shared" si="0"/>
        <v>21</v>
      </c>
      <c r="C25" s="2" t="str">
        <f>IR!A22</f>
        <v>INV-2026-021</v>
      </c>
      <c r="D25" s="2" t="str">
        <f>VLOOKUP(Table4[[#This Row],[Invoice Number]],PR!$D$6:$I$110,2)</f>
        <v>Henry Lewis</v>
      </c>
      <c r="E25" s="27">
        <f>VLOOKUP(Table4[[#This Row],[Invoice Number]],PR!$D$6:$I$110,3)</f>
        <v>46309</v>
      </c>
      <c r="F25" s="23">
        <f>VLOOKUP(Table4[[#This Row],[Invoice Number]],PR!$D$6:$I$110,4)</f>
        <v>725</v>
      </c>
      <c r="G25" s="23" t="str">
        <f>VLOOKUP(Table4[[#This Row],[Invoice Number]],PR!$D$6:$I$110,5)</f>
        <v>Office supplies</v>
      </c>
      <c r="H25" s="48" t="str">
        <f>VLOOKUP(Table4[[#This Row],[Invoice Number]],PR!$D$6:$I$110,6)</f>
        <v>PAY-7021</v>
      </c>
      <c r="I25" s="31"/>
      <c r="J25" s="59">
        <f>VLOOKUP(Table4[[#This Row],[Invoice Number]],PR!$D$6:$M$110,9)</f>
        <v>725</v>
      </c>
      <c r="K25" s="59" t="str">
        <f>VLOOKUP(Table4[[#This Row],[Invoice Number]],PR!$D$6:$M$110,10)</f>
        <v>Paid All</v>
      </c>
      <c r="L25" s="59">
        <f ca="1">PR!N26</f>
        <v>725</v>
      </c>
      <c r="M25" s="2">
        <v>30</v>
      </c>
      <c r="N25" s="2"/>
      <c r="O25" s="3"/>
    </row>
    <row r="26" spans="2:15" x14ac:dyDescent="0.3">
      <c r="B26" s="1">
        <f t="shared" si="0"/>
        <v>22</v>
      </c>
      <c r="C26" s="2" t="str">
        <f>IR!A23</f>
        <v>INV-2026-022</v>
      </c>
      <c r="D26" s="2" t="str">
        <f>VLOOKUP(Table4[[#This Row],[Invoice Number]],PR!$D$6:$I$110,2)</f>
        <v>Poppy Robinson</v>
      </c>
      <c r="E26" s="27">
        <f>VLOOKUP(Table4[[#This Row],[Invoice Number]],PR!$D$6:$I$110,3)</f>
        <v>46311</v>
      </c>
      <c r="F26" s="23">
        <f>VLOOKUP(Table4[[#This Row],[Invoice Number]],PR!$D$6:$I$110,4)</f>
        <v>2350.5</v>
      </c>
      <c r="G26" s="23" t="str">
        <f>VLOOKUP(Table4[[#This Row],[Invoice Number]],PR!$D$6:$I$110,5)</f>
        <v>Consulting services</v>
      </c>
      <c r="H26" s="48" t="str">
        <f>VLOOKUP(Table4[[#This Row],[Invoice Number]],PR!$D$6:$I$110,6)</f>
        <v>PAY-7022</v>
      </c>
      <c r="I26" s="31"/>
      <c r="J26" s="59">
        <f>VLOOKUP(Table4[[#This Row],[Invoice Number]],PR!$D$6:$M$110,9)</f>
        <v>1175.25</v>
      </c>
      <c r="K26" s="59">
        <f>VLOOKUP(Table4[[#This Row],[Invoice Number]],PR!$D$6:$M$110,10)</f>
        <v>1175.25</v>
      </c>
      <c r="L26" s="59">
        <f ca="1">PR!N27</f>
        <v>1175.25</v>
      </c>
      <c r="M26" s="2">
        <v>30</v>
      </c>
      <c r="N26" s="2"/>
      <c r="O26" s="3"/>
    </row>
    <row r="27" spans="2:15" x14ac:dyDescent="0.3">
      <c r="B27" s="1">
        <f t="shared" si="0"/>
        <v>23</v>
      </c>
      <c r="C27" s="2" t="str">
        <f>IR!A24</f>
        <v>INV-2026-023</v>
      </c>
      <c r="D27" s="2" t="str">
        <f>VLOOKUP(Table4[[#This Row],[Invoice Number]],PR!$D$6:$I$110,2)</f>
        <v>Alfie Walker</v>
      </c>
      <c r="E27" s="27">
        <f>VLOOKUP(Table4[[#This Row],[Invoice Number]],PR!$D$6:$I$110,3)</f>
        <v>46252</v>
      </c>
      <c r="F27" s="23">
        <f>VLOOKUP(Table4[[#This Row],[Invoice Number]],PR!$D$6:$I$110,4)</f>
        <v>560</v>
      </c>
      <c r="G27" s="23" t="str">
        <f>VLOOKUP(Table4[[#This Row],[Invoice Number]],PR!$D$6:$I$110,5)</f>
        <v>Equipment purchase</v>
      </c>
      <c r="H27" s="48" t="str">
        <f>VLOOKUP(Table4[[#This Row],[Invoice Number]],PR!$D$6:$I$110,6)</f>
        <v>PAY-7023</v>
      </c>
      <c r="I27" s="31"/>
      <c r="J27" s="59">
        <f>VLOOKUP(Table4[[#This Row],[Invoice Number]],PR!$D$6:$M$110,9)</f>
        <v>580</v>
      </c>
      <c r="K27" s="59">
        <f>VLOOKUP(Table4[[#This Row],[Invoice Number]],PR!$D$6:$M$110,10)</f>
        <v>-20</v>
      </c>
      <c r="L27" s="59">
        <f>PR!N28</f>
        <v>580</v>
      </c>
      <c r="M27" s="2">
        <v>30</v>
      </c>
      <c r="N27" s="2"/>
      <c r="O27" s="3"/>
    </row>
    <row r="28" spans="2:15" x14ac:dyDescent="0.3">
      <c r="B28" s="1">
        <f t="shared" si="0"/>
        <v>24</v>
      </c>
      <c r="C28" s="2" t="str">
        <f>IR!A25</f>
        <v>INV-2026-024</v>
      </c>
      <c r="D28" s="2" t="str">
        <f>VLOOKUP(Table4[[#This Row],[Invoice Number]],PR!$D$6:$I$110,2)</f>
        <v>Evie Hall</v>
      </c>
      <c r="E28" s="27">
        <f>VLOOKUP(Table4[[#This Row],[Invoice Number]],PR!$D$6:$I$110,3)</f>
        <v>46256</v>
      </c>
      <c r="F28" s="23">
        <f>VLOOKUP(Table4[[#This Row],[Invoice Number]],PR!$D$6:$I$110,4)</f>
        <v>1025.75</v>
      </c>
      <c r="G28" s="23" t="str">
        <f>VLOOKUP(Table4[[#This Row],[Invoice Number]],PR!$D$6:$I$110,5)</f>
        <v>Monthly subscription</v>
      </c>
      <c r="H28" s="48" t="str">
        <f>VLOOKUP(Table4[[#This Row],[Invoice Number]],PR!$D$6:$I$110,6)</f>
        <v>PAY-7024</v>
      </c>
      <c r="I28" s="31"/>
      <c r="J28" s="59">
        <f>VLOOKUP(Table4[[#This Row],[Invoice Number]],PR!$D$6:$M$110,9)</f>
        <v>512.875</v>
      </c>
      <c r="K28" s="59">
        <f>VLOOKUP(Table4[[#This Row],[Invoice Number]],PR!$D$6:$M$110,10)</f>
        <v>512.875</v>
      </c>
      <c r="L28" s="59">
        <f ca="1">PR!N29</f>
        <v>584.67750000000001</v>
      </c>
      <c r="M28" s="2">
        <v>30</v>
      </c>
      <c r="N28" s="2"/>
      <c r="O28" s="3"/>
    </row>
    <row r="29" spans="2:15" x14ac:dyDescent="0.3">
      <c r="B29" s="1">
        <f t="shared" si="0"/>
        <v>25</v>
      </c>
      <c r="C29" s="2" t="str">
        <f>IR!A26</f>
        <v>INV-2026-025</v>
      </c>
      <c r="D29" s="2" t="str">
        <f>VLOOKUP(Table4[[#This Row],[Invoice Number]],PR!$D$6:$I$110,2)</f>
        <v>Leo Young</v>
      </c>
      <c r="E29" s="27">
        <f>VLOOKUP(Table4[[#This Row],[Invoice Number]],PR!$D$6:$I$110,3)</f>
        <v>46262</v>
      </c>
      <c r="F29" s="23">
        <f>VLOOKUP(Table4[[#This Row],[Invoice Number]],PR!$D$6:$I$110,4)</f>
        <v>440</v>
      </c>
      <c r="G29" s="23" t="str">
        <f>VLOOKUP(Table4[[#This Row],[Invoice Number]],PR!$D$6:$I$110,5)</f>
        <v>Project delivery</v>
      </c>
      <c r="H29" s="48" t="str">
        <f>VLOOKUP(Table4[[#This Row],[Invoice Number]],PR!$D$6:$I$110,6)</f>
        <v>PAY-7025</v>
      </c>
      <c r="I29" s="31"/>
      <c r="J29" s="59">
        <f>VLOOKUP(Table4[[#This Row],[Invoice Number]],PR!$D$6:$M$110,9)</f>
        <v>220</v>
      </c>
      <c r="K29" s="59">
        <f>VLOOKUP(Table4[[#This Row],[Invoice Number]],PR!$D$6:$M$110,10)</f>
        <v>220</v>
      </c>
      <c r="L29" s="59">
        <f ca="1">PR!N30</f>
        <v>244.2</v>
      </c>
      <c r="M29" s="2">
        <v>30</v>
      </c>
      <c r="N29" s="2"/>
      <c r="O29" s="3"/>
    </row>
    <row r="30" spans="2:15" x14ac:dyDescent="0.3">
      <c r="B30" s="1">
        <f t="shared" si="0"/>
        <v>26</v>
      </c>
      <c r="C30" s="2" t="str">
        <f>IR!A27</f>
        <v>INV-2026-026</v>
      </c>
      <c r="D30" s="2" t="str">
        <f>VLOOKUP(Table4[[#This Row],[Invoice Number]],PR!$D$6:$I$110,2)</f>
        <v>Florence King</v>
      </c>
      <c r="E30" s="27">
        <f>VLOOKUP(Table4[[#This Row],[Invoice Number]],PR!$D$6:$I$110,3)</f>
        <v>46268</v>
      </c>
      <c r="F30" s="23">
        <f>VLOOKUP(Table4[[#This Row],[Invoice Number]],PR!$D$6:$I$110,4)</f>
        <v>1780</v>
      </c>
      <c r="G30" s="23" t="str">
        <f>VLOOKUP(Table4[[#This Row],[Invoice Number]],PR!$D$6:$I$110,5)</f>
        <v>Marketing services</v>
      </c>
      <c r="H30" s="48" t="str">
        <f>VLOOKUP(Table4[[#This Row],[Invoice Number]],PR!$D$6:$I$110,6)</f>
        <v>PAY-7026</v>
      </c>
      <c r="I30" s="31"/>
      <c r="J30" s="59">
        <f>VLOOKUP(Table4[[#This Row],[Invoice Number]],PR!$D$6:$M$110,9)</f>
        <v>890</v>
      </c>
      <c r="K30" s="59">
        <f>VLOOKUP(Table4[[#This Row],[Invoice Number]],PR!$D$6:$M$110,10)</f>
        <v>890</v>
      </c>
      <c r="L30" s="59">
        <f ca="1">PR!N31</f>
        <v>961.2</v>
      </c>
      <c r="M30" s="2">
        <v>30</v>
      </c>
      <c r="N30" s="2"/>
      <c r="O30" s="3"/>
    </row>
    <row r="31" spans="2:15" x14ac:dyDescent="0.3">
      <c r="B31" s="1">
        <f t="shared" si="0"/>
        <v>27</v>
      </c>
      <c r="C31" s="2" t="str">
        <f>IR!A28</f>
        <v>INV-2026-027</v>
      </c>
      <c r="D31" s="2" t="str">
        <f>VLOOKUP(Table4[[#This Row],[Invoice Number]],PR!$D$6:$I$110,2)</f>
        <v>Archie Wright</v>
      </c>
      <c r="E31" s="27">
        <f>VLOOKUP(Table4[[#This Row],[Invoice Number]],PR!$D$6:$I$110,3)</f>
        <v>46272</v>
      </c>
      <c r="F31" s="23">
        <f>VLOOKUP(Table4[[#This Row],[Invoice Number]],PR!$D$6:$I$110,4)</f>
        <v>315.25</v>
      </c>
      <c r="G31" s="23" t="str">
        <f>VLOOKUP(Table4[[#This Row],[Invoice Number]],PR!$D$6:$I$110,5)</f>
        <v>Maintenance services</v>
      </c>
      <c r="H31" s="48" t="str">
        <f>VLOOKUP(Table4[[#This Row],[Invoice Number]],PR!$D$6:$I$110,6)</f>
        <v>PAY-7027</v>
      </c>
      <c r="I31" s="31"/>
      <c r="J31" s="59">
        <f>VLOOKUP(Table4[[#This Row],[Invoice Number]],PR!$D$6:$M$110,9)</f>
        <v>157.625</v>
      </c>
      <c r="K31" s="59">
        <f>VLOOKUP(Table4[[#This Row],[Invoice Number]],PR!$D$6:$M$110,10)</f>
        <v>157.625</v>
      </c>
      <c r="L31" s="59">
        <f ca="1">PR!N32</f>
        <v>165.50624999999999</v>
      </c>
      <c r="M31" s="2">
        <v>30</v>
      </c>
      <c r="N31" s="2"/>
      <c r="O31" s="3"/>
    </row>
    <row r="32" spans="2:15" x14ac:dyDescent="0.3">
      <c r="B32" s="1">
        <f t="shared" si="0"/>
        <v>28</v>
      </c>
      <c r="C32" s="2" t="str">
        <f>IR!A29</f>
        <v>INV-2026-028</v>
      </c>
      <c r="D32" s="2" t="str">
        <f>VLOOKUP(Table4[[#This Row],[Invoice Number]],PR!$D$6:$I$110,2)</f>
        <v>Ivy Scott</v>
      </c>
      <c r="E32" s="27">
        <f>VLOOKUP(Table4[[#This Row],[Invoice Number]],PR!$D$6:$I$110,3)</f>
        <v>46276</v>
      </c>
      <c r="F32" s="23">
        <f>VLOOKUP(Table4[[#This Row],[Invoice Number]],PR!$D$6:$I$110,4)</f>
        <v>940</v>
      </c>
      <c r="G32" s="23" t="str">
        <f>VLOOKUP(Table4[[#This Row],[Invoice Number]],PR!$D$6:$I$110,5)</f>
        <v>Software licence</v>
      </c>
      <c r="H32" s="48" t="str">
        <f>VLOOKUP(Table4[[#This Row],[Invoice Number]],PR!$D$6:$I$110,6)</f>
        <v>PAY-7028</v>
      </c>
      <c r="I32" s="31"/>
      <c r="J32" s="59">
        <f>VLOOKUP(Table4[[#This Row],[Invoice Number]],PR!$D$6:$M$110,9)</f>
        <v>470</v>
      </c>
      <c r="K32" s="59">
        <f>VLOOKUP(Table4[[#This Row],[Invoice Number]],PR!$D$6:$M$110,10)</f>
        <v>470</v>
      </c>
      <c r="L32" s="59">
        <f ca="1">PR!N33</f>
        <v>479.4</v>
      </c>
      <c r="M32" s="2">
        <v>30</v>
      </c>
      <c r="N32" s="2"/>
      <c r="O32" s="3"/>
    </row>
    <row r="33" spans="2:15" x14ac:dyDescent="0.3">
      <c r="B33" s="1">
        <f t="shared" si="0"/>
        <v>29</v>
      </c>
      <c r="C33" s="2" t="str">
        <f>IR!A30</f>
        <v>INV-2026-029</v>
      </c>
      <c r="D33" s="2" t="str">
        <f>VLOOKUP(Table4[[#This Row],[Invoice Number]],PR!$D$6:$I$110,2)</f>
        <v>Freddie Green</v>
      </c>
      <c r="E33" s="27">
        <f>VLOOKUP(Table4[[#This Row],[Invoice Number]],PR!$D$6:$I$110,3)</f>
        <v>46279</v>
      </c>
      <c r="F33" s="23">
        <f>VLOOKUP(Table4[[#This Row],[Invoice Number]],PR!$D$6:$I$110,4)</f>
        <v>2450</v>
      </c>
      <c r="G33" s="23" t="str">
        <f>VLOOKUP(Table4[[#This Row],[Invoice Number]],PR!$D$6:$I$110,5)</f>
        <v>Stationery order</v>
      </c>
      <c r="H33" s="48" t="str">
        <f>VLOOKUP(Table4[[#This Row],[Invoice Number]],PR!$D$6:$I$110,6)</f>
        <v>PAY-7029</v>
      </c>
      <c r="I33" s="31"/>
      <c r="J33" s="59">
        <f>VLOOKUP(Table4[[#This Row],[Invoice Number]],PR!$D$6:$M$110,9)</f>
        <v>1225</v>
      </c>
      <c r="K33" s="59">
        <f>VLOOKUP(Table4[[#This Row],[Invoice Number]],PR!$D$6:$M$110,10)</f>
        <v>1225</v>
      </c>
      <c r="L33" s="59">
        <f ca="1">PR!N34</f>
        <v>1249.5</v>
      </c>
      <c r="M33" s="2">
        <v>30</v>
      </c>
      <c r="N33" s="2"/>
      <c r="O33" s="3"/>
    </row>
    <row r="34" spans="2:15" x14ac:dyDescent="0.3">
      <c r="B34" s="1">
        <f t="shared" si="0"/>
        <v>30</v>
      </c>
      <c r="C34" s="2" t="str">
        <f>IR!A31</f>
        <v>INV-2026-030</v>
      </c>
      <c r="D34" s="2" t="str">
        <f>VLOOKUP(Table4[[#This Row],[Invoice Number]],PR!$D$6:$I$110,2)</f>
        <v>Elsie Baker</v>
      </c>
      <c r="E34" s="27">
        <f>VLOOKUP(Table4[[#This Row],[Invoice Number]],PR!$D$6:$I$110,3)</f>
        <v>46282</v>
      </c>
      <c r="F34" s="23">
        <f>VLOOKUP(Table4[[#This Row],[Invoice Number]],PR!$D$6:$I$110,4)</f>
        <v>685.5</v>
      </c>
      <c r="G34" s="23" t="str">
        <f>VLOOKUP(Table4[[#This Row],[Invoice Number]],PR!$D$6:$I$110,5)</f>
        <v>Training services</v>
      </c>
      <c r="H34" s="48" t="str">
        <f>VLOOKUP(Table4[[#This Row],[Invoice Number]],PR!$D$6:$I$110,6)</f>
        <v>PAY-7030</v>
      </c>
      <c r="I34" s="31"/>
      <c r="J34" s="59">
        <f>VLOOKUP(Table4[[#This Row],[Invoice Number]],PR!$D$6:$M$110,9)</f>
        <v>685</v>
      </c>
      <c r="K34" s="59">
        <f>VLOOKUP(Table4[[#This Row],[Invoice Number]],PR!$D$6:$M$110,10)</f>
        <v>0.5</v>
      </c>
      <c r="L34" s="59">
        <f>PR!N35</f>
        <v>685</v>
      </c>
      <c r="M34" s="2">
        <v>30</v>
      </c>
      <c r="N34" s="2"/>
      <c r="O34" s="3"/>
    </row>
    <row r="35" spans="2:15" x14ac:dyDescent="0.3">
      <c r="B35" s="1">
        <f t="shared" si="0"/>
        <v>31</v>
      </c>
      <c r="C35" s="2" t="str">
        <f>IR!A32</f>
        <v>INV-2026-031</v>
      </c>
      <c r="D35" s="2" t="str">
        <f>VLOOKUP(Table4[[#This Row],[Invoice Number]],PR!$D$6:$I$110,2)</f>
        <v>Ethan Adams</v>
      </c>
      <c r="E35" s="27">
        <f>VLOOKUP(Table4[[#This Row],[Invoice Number]],PR!$D$6:$I$110,3)</f>
        <v>46286</v>
      </c>
      <c r="F35" s="23">
        <f>VLOOKUP(Table4[[#This Row],[Invoice Number]],PR!$D$6:$I$110,4)</f>
        <v>1150</v>
      </c>
      <c r="G35" s="23" t="str">
        <f>VLOOKUP(Table4[[#This Row],[Invoice Number]],PR!$D$6:$I$110,5)</f>
        <v>Office supplies</v>
      </c>
      <c r="H35" s="48" t="str">
        <f>VLOOKUP(Table4[[#This Row],[Invoice Number]],PR!$D$6:$I$110,6)</f>
        <v>PAY-7031</v>
      </c>
      <c r="I35" s="31"/>
      <c r="J35" s="59">
        <f>VLOOKUP(Table4[[#This Row],[Invoice Number]],PR!$D$6:$M$110,9)</f>
        <v>575</v>
      </c>
      <c r="K35" s="59">
        <f>VLOOKUP(Table4[[#This Row],[Invoice Number]],PR!$D$6:$M$110,10)</f>
        <v>575</v>
      </c>
      <c r="L35" s="59">
        <f ca="1">PR!N36</f>
        <v>575</v>
      </c>
      <c r="M35" s="2">
        <v>30</v>
      </c>
      <c r="N35" s="2"/>
      <c r="O35" s="3"/>
    </row>
    <row r="36" spans="2:15" x14ac:dyDescent="0.3">
      <c r="B36" s="1">
        <f t="shared" si="0"/>
        <v>32</v>
      </c>
      <c r="C36" s="2" t="str">
        <f>IR!A33</f>
        <v>INV-2026-032</v>
      </c>
      <c r="D36" s="2" t="str">
        <f>VLOOKUP(Table4[[#This Row],[Invoice Number]],PR!$D$6:$I$110,2)</f>
        <v>Ruby Nelson</v>
      </c>
      <c r="E36" s="27">
        <f>VLOOKUP(Table4[[#This Row],[Invoice Number]],PR!$D$6:$I$110,3)</f>
        <v>46289</v>
      </c>
      <c r="F36" s="23">
        <f>VLOOKUP(Table4[[#This Row],[Invoice Number]],PR!$D$6:$I$110,4)</f>
        <v>395.75</v>
      </c>
      <c r="G36" s="23" t="str">
        <f>VLOOKUP(Table4[[#This Row],[Invoice Number]],PR!$D$6:$I$110,5)</f>
        <v>Consulting services</v>
      </c>
      <c r="H36" s="48" t="str">
        <f>VLOOKUP(Table4[[#This Row],[Invoice Number]],PR!$D$6:$I$110,6)</f>
        <v>PAY-7032</v>
      </c>
      <c r="I36" s="31"/>
      <c r="J36" s="59">
        <f>VLOOKUP(Table4[[#This Row],[Invoice Number]],PR!$D$6:$M$110,9)</f>
        <v>197.875</v>
      </c>
      <c r="K36" s="59">
        <f>VLOOKUP(Table4[[#This Row],[Invoice Number]],PR!$D$6:$M$110,10)</f>
        <v>197.875</v>
      </c>
      <c r="L36" s="59">
        <f ca="1">PR!N37</f>
        <v>197.875</v>
      </c>
      <c r="M36" s="2">
        <v>30</v>
      </c>
      <c r="N36" s="2"/>
      <c r="O36" s="3"/>
    </row>
    <row r="37" spans="2:15" x14ac:dyDescent="0.3">
      <c r="B37" s="1">
        <f t="shared" si="0"/>
        <v>33</v>
      </c>
      <c r="C37" s="2" t="str">
        <f>IR!A34</f>
        <v>INV-2026-033</v>
      </c>
      <c r="D37" s="2" t="str">
        <f>VLOOKUP(Table4[[#This Row],[Invoice Number]],PR!$D$6:$I$110,2)</f>
        <v>Lucas Hill</v>
      </c>
      <c r="E37" s="27">
        <f>VLOOKUP(Table4[[#This Row],[Invoice Number]],PR!$D$6:$I$110,3)</f>
        <v>46292</v>
      </c>
      <c r="F37" s="23">
        <f>VLOOKUP(Table4[[#This Row],[Invoice Number]],PR!$D$6:$I$110,4)</f>
        <v>2850</v>
      </c>
      <c r="G37" s="23" t="str">
        <f>VLOOKUP(Table4[[#This Row],[Invoice Number]],PR!$D$6:$I$110,5)</f>
        <v>Equipment purchase</v>
      </c>
      <c r="H37" s="48" t="str">
        <f>VLOOKUP(Table4[[#This Row],[Invoice Number]],PR!$D$6:$I$110,6)</f>
        <v>PAY-7033</v>
      </c>
      <c r="I37" s="31"/>
      <c r="J37" s="59">
        <f>VLOOKUP(Table4[[#This Row],[Invoice Number]],PR!$D$6:$M$110,9)</f>
        <v>1425</v>
      </c>
      <c r="K37" s="59">
        <f>VLOOKUP(Table4[[#This Row],[Invoice Number]],PR!$D$6:$M$110,10)</f>
        <v>1425</v>
      </c>
      <c r="L37" s="59">
        <f ca="1">PR!N38</f>
        <v>1425</v>
      </c>
      <c r="M37" s="2">
        <v>30</v>
      </c>
      <c r="N37" s="2"/>
      <c r="O37" s="3"/>
    </row>
    <row r="38" spans="2:15" x14ac:dyDescent="0.3">
      <c r="B38" s="1">
        <f t="shared" si="0"/>
        <v>34</v>
      </c>
      <c r="C38" s="2" t="str">
        <f>IR!A35</f>
        <v>INV-2026-034</v>
      </c>
      <c r="D38" s="2" t="str">
        <f>VLOOKUP(Table4[[#This Row],[Invoice Number]],PR!$D$6:$I$110,2)</f>
        <v>Daisy Lewis</v>
      </c>
      <c r="E38" s="27">
        <f>VLOOKUP(Table4[[#This Row],[Invoice Number]],PR!$D$6:$I$110,3)</f>
        <v>46294</v>
      </c>
      <c r="F38" s="23">
        <f>VLOOKUP(Table4[[#This Row],[Invoice Number]],PR!$D$6:$I$110,4)</f>
        <v>760</v>
      </c>
      <c r="G38" s="23" t="str">
        <f>VLOOKUP(Table4[[#This Row],[Invoice Number]],PR!$D$6:$I$110,5)</f>
        <v>Monthly subscription</v>
      </c>
      <c r="H38" s="48" t="str">
        <f>VLOOKUP(Table4[[#This Row],[Invoice Number]],PR!$D$6:$I$110,6)</f>
        <v>PAY-7034</v>
      </c>
      <c r="I38" s="31"/>
      <c r="J38" s="59">
        <f>VLOOKUP(Table4[[#This Row],[Invoice Number]],PR!$D$6:$M$110,9)</f>
        <v>380</v>
      </c>
      <c r="K38" s="59">
        <f>VLOOKUP(Table4[[#This Row],[Invoice Number]],PR!$D$6:$M$110,10)</f>
        <v>380</v>
      </c>
      <c r="L38" s="59">
        <f ca="1">PR!N39</f>
        <v>380</v>
      </c>
      <c r="M38" s="2">
        <v>30</v>
      </c>
      <c r="N38" s="2"/>
      <c r="O38" s="3"/>
    </row>
    <row r="39" spans="2:15" x14ac:dyDescent="0.3">
      <c r="B39" s="1">
        <f t="shared" si="0"/>
        <v>35</v>
      </c>
      <c r="C39" s="2" t="str">
        <f>IR!A36</f>
        <v>INV-2026-035</v>
      </c>
      <c r="D39" s="2" t="str">
        <f>VLOOKUP(Table4[[#This Row],[Invoice Number]],PR!$D$6:$I$110,2)</f>
        <v>Finley Clark</v>
      </c>
      <c r="E39" s="27">
        <f>VLOOKUP(Table4[[#This Row],[Invoice Number]],PR!$D$6:$I$110,3)</f>
        <v>46296</v>
      </c>
      <c r="F39" s="23">
        <f>VLOOKUP(Table4[[#This Row],[Invoice Number]],PR!$D$6:$I$110,4)</f>
        <v>1425.5</v>
      </c>
      <c r="G39" s="23" t="str">
        <f>VLOOKUP(Table4[[#This Row],[Invoice Number]],PR!$D$6:$I$110,5)</f>
        <v>Project delivery</v>
      </c>
      <c r="H39" s="48" t="str">
        <f>VLOOKUP(Table4[[#This Row],[Invoice Number]],PR!$D$6:$I$110,6)</f>
        <v>PAY-7035</v>
      </c>
      <c r="I39" s="31"/>
      <c r="J39" s="59">
        <f>VLOOKUP(Table4[[#This Row],[Invoice Number]],PR!$D$6:$M$110,9)</f>
        <v>712.75</v>
      </c>
      <c r="K39" s="59">
        <f>VLOOKUP(Table4[[#This Row],[Invoice Number]],PR!$D$6:$M$110,10)</f>
        <v>712.75</v>
      </c>
      <c r="L39" s="59">
        <f ca="1">PR!N40</f>
        <v>712.75</v>
      </c>
      <c r="M39" s="2">
        <v>30</v>
      </c>
      <c r="N39" s="2"/>
      <c r="O39" s="3"/>
    </row>
    <row r="40" spans="2:15" x14ac:dyDescent="0.3">
      <c r="B40" s="1">
        <f t="shared" si="0"/>
        <v>36</v>
      </c>
      <c r="C40" s="2" t="str">
        <f>IR!A37</f>
        <v>INV-2026-036</v>
      </c>
      <c r="D40" s="2" t="str">
        <f>VLOOKUP(Table4[[#This Row],[Invoice Number]],PR!$D$6:$I$110,2)</f>
        <v>Chloe Mitchell</v>
      </c>
      <c r="E40" s="27">
        <f>VLOOKUP(Table4[[#This Row],[Invoice Number]],PR!$D$6:$I$110,3)</f>
        <v>46298</v>
      </c>
      <c r="F40" s="23">
        <f>VLOOKUP(Table4[[#This Row],[Invoice Number]],PR!$D$6:$I$110,4)</f>
        <v>530</v>
      </c>
      <c r="G40" s="23" t="str">
        <f>VLOOKUP(Table4[[#This Row],[Invoice Number]],PR!$D$6:$I$110,5)</f>
        <v>Marketing services</v>
      </c>
      <c r="H40" s="48" t="str">
        <f>VLOOKUP(Table4[[#This Row],[Invoice Number]],PR!$D$6:$I$110,6)</f>
        <v>PAY-7036</v>
      </c>
      <c r="I40" s="31"/>
      <c r="J40" s="59">
        <f>VLOOKUP(Table4[[#This Row],[Invoice Number]],PR!$D$6:$M$110,9)</f>
        <v>560</v>
      </c>
      <c r="K40" s="59">
        <f>VLOOKUP(Table4[[#This Row],[Invoice Number]],PR!$D$6:$M$110,10)</f>
        <v>-30</v>
      </c>
      <c r="L40" s="59">
        <f>PR!N41</f>
        <v>560</v>
      </c>
      <c r="M40" s="2">
        <v>30</v>
      </c>
      <c r="N40" s="2"/>
      <c r="O40" s="3"/>
    </row>
    <row r="41" spans="2:15" x14ac:dyDescent="0.3">
      <c r="B41" s="1">
        <f t="shared" ref="B41:B60" si="1">B40+1</f>
        <v>37</v>
      </c>
      <c r="C41" s="2" t="str">
        <f>IR!A38</f>
        <v>INV-2026-037</v>
      </c>
      <c r="D41" s="2" t="str">
        <f>VLOOKUP(Table4[[#This Row],[Invoice Number]],PR!$D$6:$I$110,2)</f>
        <v>Mason Thompson</v>
      </c>
      <c r="E41" s="27">
        <f>VLOOKUP(Table4[[#This Row],[Invoice Number]],PR!$D$6:$I$110,3)</f>
        <v>46300</v>
      </c>
      <c r="F41" s="23">
        <f>VLOOKUP(Table4[[#This Row],[Invoice Number]],PR!$D$6:$I$110,4)</f>
        <v>975.25</v>
      </c>
      <c r="G41" s="23" t="str">
        <f>VLOOKUP(Table4[[#This Row],[Invoice Number]],PR!$D$6:$I$110,5)</f>
        <v>Maintenance services</v>
      </c>
      <c r="H41" s="48" t="str">
        <f>VLOOKUP(Table4[[#This Row],[Invoice Number]],PR!$D$6:$I$110,6)</f>
        <v>PAY-7037</v>
      </c>
      <c r="I41" s="31"/>
      <c r="J41" s="59">
        <f>VLOOKUP(Table4[[#This Row],[Invoice Number]],PR!$D$6:$M$110,9)</f>
        <v>487.625</v>
      </c>
      <c r="K41" s="59">
        <f>VLOOKUP(Table4[[#This Row],[Invoice Number]],PR!$D$6:$M$110,10)</f>
        <v>487.625</v>
      </c>
      <c r="L41" s="59">
        <f ca="1">PR!N42</f>
        <v>487.625</v>
      </c>
      <c r="M41" s="2">
        <v>30</v>
      </c>
      <c r="N41" s="2"/>
      <c r="O41" s="3"/>
    </row>
    <row r="42" spans="2:15" x14ac:dyDescent="0.3">
      <c r="B42" s="1">
        <f t="shared" si="1"/>
        <v>38</v>
      </c>
      <c r="C42" s="2" t="str">
        <f>IR!A39</f>
        <v>INV-2026-038</v>
      </c>
      <c r="D42" s="2" t="str">
        <f>VLOOKUP(Table4[[#This Row],[Invoice Number]],PR!$D$6:$I$110,2)</f>
        <v>Sophie Wilson</v>
      </c>
      <c r="E42" s="27">
        <f>VLOOKUP(Table4[[#This Row],[Invoice Number]],PR!$D$6:$I$110,3)</f>
        <v>46302</v>
      </c>
      <c r="F42" s="23">
        <f>VLOOKUP(Table4[[#This Row],[Invoice Number]],PR!$D$6:$I$110,4)</f>
        <v>1850</v>
      </c>
      <c r="G42" s="23" t="str">
        <f>VLOOKUP(Table4[[#This Row],[Invoice Number]],PR!$D$6:$I$110,5)</f>
        <v>Software licence</v>
      </c>
      <c r="H42" s="48" t="str">
        <f>VLOOKUP(Table4[[#This Row],[Invoice Number]],PR!$D$6:$I$110,6)</f>
        <v>PAY-7038</v>
      </c>
      <c r="I42" s="31"/>
      <c r="J42" s="59">
        <f>VLOOKUP(Table4[[#This Row],[Invoice Number]],PR!$D$6:$M$110,9)</f>
        <v>925</v>
      </c>
      <c r="K42" s="59">
        <f>VLOOKUP(Table4[[#This Row],[Invoice Number]],PR!$D$6:$M$110,10)</f>
        <v>925</v>
      </c>
      <c r="L42" s="59">
        <f ca="1">PR!N43</f>
        <v>925</v>
      </c>
      <c r="M42" s="2">
        <v>30</v>
      </c>
      <c r="N42" s="2"/>
      <c r="O42" s="3"/>
    </row>
    <row r="43" spans="2:15" x14ac:dyDescent="0.3">
      <c r="B43" s="1">
        <f t="shared" si="1"/>
        <v>39</v>
      </c>
      <c r="C43" s="2" t="str">
        <f>IR!A40</f>
        <v>INV-2026-039</v>
      </c>
      <c r="D43" s="2" t="str">
        <f>VLOOKUP(Table4[[#This Row],[Invoice Number]],PR!$D$6:$I$110,2)</f>
        <v>Teddy Carter</v>
      </c>
      <c r="E43" s="27">
        <f>VLOOKUP(Table4[[#This Row],[Invoice Number]],PR!$D$6:$I$110,3)</f>
        <v>46304</v>
      </c>
      <c r="F43" s="23">
        <f>VLOOKUP(Table4[[#This Row],[Invoice Number]],PR!$D$6:$I$110,4)</f>
        <v>280</v>
      </c>
      <c r="G43" s="23" t="str">
        <f>VLOOKUP(Table4[[#This Row],[Invoice Number]],PR!$D$6:$I$110,5)</f>
        <v>Stationery order</v>
      </c>
      <c r="H43" s="48" t="str">
        <f>VLOOKUP(Table4[[#This Row],[Invoice Number]],PR!$D$6:$I$110,6)</f>
        <v>PAY-7039</v>
      </c>
      <c r="I43" s="31"/>
      <c r="J43" s="59">
        <f>VLOOKUP(Table4[[#This Row],[Invoice Number]],PR!$D$6:$M$110,9)</f>
        <v>140</v>
      </c>
      <c r="K43" s="59">
        <f>VLOOKUP(Table4[[#This Row],[Invoice Number]],PR!$D$6:$M$110,10)</f>
        <v>140</v>
      </c>
      <c r="L43" s="59">
        <f ca="1">PR!N44</f>
        <v>140</v>
      </c>
      <c r="M43" s="2">
        <v>30</v>
      </c>
      <c r="N43" s="2"/>
      <c r="O43" s="3"/>
    </row>
    <row r="44" spans="2:15" x14ac:dyDescent="0.3">
      <c r="B44" s="1">
        <f t="shared" si="1"/>
        <v>40</v>
      </c>
      <c r="C44" s="2" t="str">
        <f>IR!A41</f>
        <v>INV-2026-040</v>
      </c>
      <c r="D44" s="2" t="str">
        <f>VLOOKUP(Table4[[#This Row],[Invoice Number]],PR!$D$6:$I$110,2)</f>
        <v>Millie Bennett</v>
      </c>
      <c r="E44" s="27">
        <f>VLOOKUP(Table4[[#This Row],[Invoice Number]],PR!$D$6:$I$110,3)</f>
        <v>46306</v>
      </c>
      <c r="F44" s="23">
        <f>VLOOKUP(Table4[[#This Row],[Invoice Number]],PR!$D$6:$I$110,4)</f>
        <v>1095.75</v>
      </c>
      <c r="G44" s="23" t="str">
        <f>VLOOKUP(Table4[[#This Row],[Invoice Number]],PR!$D$6:$I$110,5)</f>
        <v>Training services</v>
      </c>
      <c r="H44" s="48" t="str">
        <f>VLOOKUP(Table4[[#This Row],[Invoice Number]],PR!$D$6:$I$110,6)</f>
        <v>PAY-7040</v>
      </c>
      <c r="I44" s="31"/>
      <c r="J44" s="59">
        <f>VLOOKUP(Table4[[#This Row],[Invoice Number]],PR!$D$6:$M$110,9)</f>
        <v>547.875</v>
      </c>
      <c r="K44" s="59">
        <f>VLOOKUP(Table4[[#This Row],[Invoice Number]],PR!$D$6:$M$110,10)</f>
        <v>547.875</v>
      </c>
      <c r="L44" s="59">
        <f ca="1">PR!N45</f>
        <v>547.875</v>
      </c>
      <c r="M44" s="2">
        <v>30</v>
      </c>
      <c r="N44" s="2"/>
      <c r="O44" s="3"/>
    </row>
    <row r="45" spans="2:15" x14ac:dyDescent="0.3">
      <c r="B45" s="1">
        <f t="shared" si="1"/>
        <v>41</v>
      </c>
      <c r="C45" s="2" t="str">
        <f>IR!A42</f>
        <v>INV-2026-041</v>
      </c>
      <c r="D45" s="2" t="str">
        <f>VLOOKUP(Table4[[#This Row],[Invoice Number]],PR!$D$6:$I$110,2)</f>
        <v>Benjamin Harris</v>
      </c>
      <c r="E45" s="27">
        <f>VLOOKUP(Table4[[#This Row],[Invoice Number]],PR!$D$6:$I$110,3)</f>
        <v>46308</v>
      </c>
      <c r="F45" s="23">
        <f>VLOOKUP(Table4[[#This Row],[Invoice Number]],PR!$D$6:$I$110,4)</f>
        <v>650</v>
      </c>
      <c r="G45" s="23" t="str">
        <f>VLOOKUP(Table4[[#This Row],[Invoice Number]],PR!$D$6:$I$110,5)</f>
        <v>Office supplies</v>
      </c>
      <c r="H45" s="48" t="str">
        <f>VLOOKUP(Table4[[#This Row],[Invoice Number]],PR!$D$6:$I$110,6)</f>
        <v>PAY-7041</v>
      </c>
      <c r="I45" s="31"/>
      <c r="J45" s="59">
        <f>VLOOKUP(Table4[[#This Row],[Invoice Number]],PR!$D$6:$M$110,9)</f>
        <v>325</v>
      </c>
      <c r="K45" s="59">
        <f>VLOOKUP(Table4[[#This Row],[Invoice Number]],PR!$D$6:$M$110,10)</f>
        <v>325</v>
      </c>
      <c r="L45" s="59">
        <f ca="1">PR!N46</f>
        <v>325</v>
      </c>
      <c r="M45" s="2">
        <v>30</v>
      </c>
      <c r="N45" s="2"/>
      <c r="O45" s="3"/>
    </row>
    <row r="46" spans="2:15" x14ac:dyDescent="0.3">
      <c r="B46" s="1">
        <f t="shared" si="1"/>
        <v>42</v>
      </c>
      <c r="C46" s="2" t="str">
        <f>IR!A43</f>
        <v>INV-2026-042</v>
      </c>
      <c r="D46" s="2" t="str">
        <f>VLOOKUP(Table4[[#This Row],[Invoice Number]],PR!$D$6:$I$110,2)</f>
        <v>Aria Martin</v>
      </c>
      <c r="E46" s="27">
        <f>VLOOKUP(Table4[[#This Row],[Invoice Number]],PR!$D$6:$I$110,3)</f>
        <v>46310</v>
      </c>
      <c r="F46" s="23">
        <f>VLOOKUP(Table4[[#This Row],[Invoice Number]],PR!$D$6:$I$110,4)</f>
        <v>1980.5</v>
      </c>
      <c r="G46" s="23" t="str">
        <f>VLOOKUP(Table4[[#This Row],[Invoice Number]],PR!$D$6:$I$110,5)</f>
        <v>Consulting services</v>
      </c>
      <c r="H46" s="48" t="str">
        <f>VLOOKUP(Table4[[#This Row],[Invoice Number]],PR!$D$6:$I$110,6)</f>
        <v>PAY-7042</v>
      </c>
      <c r="I46" s="31"/>
      <c r="J46" s="59">
        <f>VLOOKUP(Table4[[#This Row],[Invoice Number]],PR!$D$6:$M$110,9)</f>
        <v>990.25</v>
      </c>
      <c r="K46" s="59">
        <f>VLOOKUP(Table4[[#This Row],[Invoice Number]],PR!$D$6:$M$110,10)</f>
        <v>990.25</v>
      </c>
      <c r="L46" s="59">
        <f ca="1">PR!N47</f>
        <v>990.25</v>
      </c>
      <c r="M46" s="2">
        <v>30</v>
      </c>
      <c r="N46" s="2"/>
      <c r="O46" s="3"/>
    </row>
    <row r="47" spans="2:15" x14ac:dyDescent="0.3">
      <c r="B47" s="1">
        <f t="shared" si="1"/>
        <v>43</v>
      </c>
      <c r="C47" s="2" t="str">
        <f>IR!A44</f>
        <v>INV-2026-043</v>
      </c>
      <c r="D47" s="2" t="str">
        <f>VLOOKUP(Table4[[#This Row],[Invoice Number]],PR!$D$6:$I$110,2)</f>
        <v>Daniel Moore</v>
      </c>
      <c r="E47" s="27">
        <f>VLOOKUP(Table4[[#This Row],[Invoice Number]],PR!$D$6:$I$110,3)</f>
        <v>46311</v>
      </c>
      <c r="F47" s="23">
        <f>VLOOKUP(Table4[[#This Row],[Invoice Number]],PR!$D$6:$I$110,4)</f>
        <v>845</v>
      </c>
      <c r="G47" s="23" t="str">
        <f>VLOOKUP(Table4[[#This Row],[Invoice Number]],PR!$D$6:$I$110,5)</f>
        <v>Equipment purchase</v>
      </c>
      <c r="H47" s="48" t="str">
        <f>VLOOKUP(Table4[[#This Row],[Invoice Number]],PR!$D$6:$I$110,6)</f>
        <v>PAY-7043</v>
      </c>
      <c r="I47" s="31"/>
      <c r="J47" s="59">
        <f>VLOOKUP(Table4[[#This Row],[Invoice Number]],PR!$D$6:$M$110,9)</f>
        <v>422.5</v>
      </c>
      <c r="K47" s="59">
        <f>VLOOKUP(Table4[[#This Row],[Invoice Number]],PR!$D$6:$M$110,10)</f>
        <v>422.5</v>
      </c>
      <c r="L47" s="59">
        <f ca="1">PR!N48</f>
        <v>422.5</v>
      </c>
      <c r="M47" s="2">
        <v>30</v>
      </c>
      <c r="N47" s="2"/>
      <c r="O47" s="3"/>
    </row>
    <row r="48" spans="2:15" x14ac:dyDescent="0.3">
      <c r="B48" s="1">
        <f t="shared" si="1"/>
        <v>44</v>
      </c>
      <c r="C48" s="2" t="str">
        <f>IR!A45</f>
        <v>INV-2026-044</v>
      </c>
      <c r="D48" s="2" t="str">
        <f>VLOOKUP(Table4[[#This Row],[Invoice Number]],PR!$D$6:$I$110,2)</f>
        <v>Maisie Taylor</v>
      </c>
      <c r="E48" s="27">
        <f>VLOOKUP(Table4[[#This Row],[Invoice Number]],PR!$D$6:$I$110,3)</f>
        <v>46253</v>
      </c>
      <c r="F48" s="23">
        <f>VLOOKUP(Table4[[#This Row],[Invoice Number]],PR!$D$6:$I$110,4)</f>
        <v>420.25</v>
      </c>
      <c r="G48" s="23" t="str">
        <f>VLOOKUP(Table4[[#This Row],[Invoice Number]],PR!$D$6:$I$110,5)</f>
        <v>Monthly subscription</v>
      </c>
      <c r="H48" s="48" t="str">
        <f>VLOOKUP(Table4[[#This Row],[Invoice Number]],PR!$D$6:$I$110,6)</f>
        <v>PAY-7044</v>
      </c>
      <c r="I48" s="31"/>
      <c r="J48" s="59">
        <f>VLOOKUP(Table4[[#This Row],[Invoice Number]],PR!$D$6:$M$110,9)</f>
        <v>210.125</v>
      </c>
      <c r="K48" s="59">
        <f>VLOOKUP(Table4[[#This Row],[Invoice Number]],PR!$D$6:$M$110,10)</f>
        <v>210.125</v>
      </c>
      <c r="L48" s="59">
        <f ca="1">PR!N49</f>
        <v>245.84625</v>
      </c>
      <c r="M48" s="2">
        <v>30</v>
      </c>
      <c r="N48" s="2"/>
      <c r="O48" s="3"/>
    </row>
    <row r="49" spans="2:15" x14ac:dyDescent="0.3">
      <c r="B49" s="1">
        <f t="shared" si="1"/>
        <v>45</v>
      </c>
      <c r="C49" s="2" t="str">
        <f>IR!A46</f>
        <v>INV-2026-045</v>
      </c>
      <c r="D49" s="2" t="str">
        <f>VLOOKUP(Table4[[#This Row],[Invoice Number]],PR!$D$6:$I$110,2)</f>
        <v>Samuel Anderson</v>
      </c>
      <c r="E49" s="27">
        <f>VLOOKUP(Table4[[#This Row],[Invoice Number]],PR!$D$6:$I$110,3)</f>
        <v>46258</v>
      </c>
      <c r="F49" s="23">
        <f>VLOOKUP(Table4[[#This Row],[Invoice Number]],PR!$D$6:$I$110,4)</f>
        <v>2650</v>
      </c>
      <c r="G49" s="23" t="str">
        <f>VLOOKUP(Table4[[#This Row],[Invoice Number]],PR!$D$6:$I$110,5)</f>
        <v>Project delivery</v>
      </c>
      <c r="H49" s="48" t="str">
        <f>VLOOKUP(Table4[[#This Row],[Invoice Number]],PR!$D$6:$I$110,6)</f>
        <v>PAY-7045</v>
      </c>
      <c r="I49" s="31"/>
      <c r="J49" s="59">
        <f>VLOOKUP(Table4[[#This Row],[Invoice Number]],PR!$D$6:$M$110,9)</f>
        <v>1325</v>
      </c>
      <c r="K49" s="59">
        <f>VLOOKUP(Table4[[#This Row],[Invoice Number]],PR!$D$6:$M$110,10)</f>
        <v>1325</v>
      </c>
      <c r="L49" s="59">
        <f ca="1">PR!N50</f>
        <v>1510.5</v>
      </c>
      <c r="M49" s="2">
        <v>30</v>
      </c>
      <c r="N49" s="2"/>
      <c r="O49" s="3"/>
    </row>
    <row r="50" spans="2:15" x14ac:dyDescent="0.3">
      <c r="B50" s="1">
        <f t="shared" si="1"/>
        <v>46</v>
      </c>
      <c r="C50" s="2" t="str">
        <f>IR!A47</f>
        <v>INV-2026-046</v>
      </c>
      <c r="D50" s="2" t="str">
        <f>VLOOKUP(Table4[[#This Row],[Invoice Number]],PR!$D$6:$I$110,2)</f>
        <v>Sienna Thomas</v>
      </c>
      <c r="E50" s="27">
        <f>VLOOKUP(Table4[[#This Row],[Invoice Number]],PR!$D$6:$I$110,3)</f>
        <v>46263</v>
      </c>
      <c r="F50" s="23">
        <f>VLOOKUP(Table4[[#This Row],[Invoice Number]],PR!$D$6:$I$110,4)</f>
        <v>715.5</v>
      </c>
      <c r="G50" s="23" t="str">
        <f>VLOOKUP(Table4[[#This Row],[Invoice Number]],PR!$D$6:$I$110,5)</f>
        <v>Marketing services</v>
      </c>
      <c r="H50" s="48" t="str">
        <f>VLOOKUP(Table4[[#This Row],[Invoice Number]],PR!$D$6:$I$110,6)</f>
        <v>PAY-7046</v>
      </c>
      <c r="I50" s="31"/>
      <c r="J50" s="59">
        <f>VLOOKUP(Table4[[#This Row],[Invoice Number]],PR!$D$6:$M$110,9)</f>
        <v>357.75</v>
      </c>
      <c r="K50" s="59">
        <f>VLOOKUP(Table4[[#This Row],[Invoice Number]],PR!$D$6:$M$110,10)</f>
        <v>357.75</v>
      </c>
      <c r="L50" s="59">
        <f ca="1">PR!N51</f>
        <v>397.10250000000002</v>
      </c>
      <c r="M50" s="2">
        <v>30</v>
      </c>
      <c r="N50" s="2"/>
      <c r="O50" s="3"/>
    </row>
    <row r="51" spans="2:15" x14ac:dyDescent="0.3">
      <c r="B51" s="1">
        <f t="shared" si="1"/>
        <v>47</v>
      </c>
      <c r="C51" s="2" t="str">
        <f>IR!A48</f>
        <v>INV-2026-047</v>
      </c>
      <c r="D51" s="2" t="str">
        <f>VLOOKUP(Table4[[#This Row],[Invoice Number]],PR!$D$6:$I$110,2)</f>
        <v>Joseph Jackson</v>
      </c>
      <c r="E51" s="27">
        <f>VLOOKUP(Table4[[#This Row],[Invoice Number]],PR!$D$6:$I$110,3)</f>
        <v>46269</v>
      </c>
      <c r="F51" s="23">
        <f>VLOOKUP(Table4[[#This Row],[Invoice Number]],PR!$D$6:$I$110,4)</f>
        <v>390</v>
      </c>
      <c r="G51" s="23" t="str">
        <f>VLOOKUP(Table4[[#This Row],[Invoice Number]],PR!$D$6:$I$110,5)</f>
        <v>Maintenance services</v>
      </c>
      <c r="H51" s="48" t="str">
        <f>VLOOKUP(Table4[[#This Row],[Invoice Number]],PR!$D$6:$I$110,6)</f>
        <v>PAY-7047</v>
      </c>
      <c r="I51" s="31"/>
      <c r="J51" s="59">
        <f>VLOOKUP(Table4[[#This Row],[Invoice Number]],PR!$D$6:$M$110,9)</f>
        <v>195</v>
      </c>
      <c r="K51" s="59">
        <f>VLOOKUP(Table4[[#This Row],[Invoice Number]],PR!$D$6:$M$110,10)</f>
        <v>195</v>
      </c>
      <c r="L51" s="59">
        <f ca="1">PR!N52</f>
        <v>210.6</v>
      </c>
      <c r="M51" s="2">
        <v>30</v>
      </c>
      <c r="N51" s="2"/>
      <c r="O51" s="3"/>
    </row>
    <row r="52" spans="2:15" x14ac:dyDescent="0.3">
      <c r="B52" s="1">
        <f t="shared" si="1"/>
        <v>48</v>
      </c>
      <c r="C52" s="2" t="str">
        <f>IR!A49</f>
        <v>INV-2026-048</v>
      </c>
      <c r="D52" s="2" t="str">
        <f>VLOOKUP(Table4[[#This Row],[Invoice Number]],PR!$D$6:$I$110,2)</f>
        <v>Phoebe White</v>
      </c>
      <c r="E52" s="27">
        <f>VLOOKUP(Table4[[#This Row],[Invoice Number]],PR!$D$6:$I$110,3)</f>
        <v>46273</v>
      </c>
      <c r="F52" s="23">
        <f>VLOOKUP(Table4[[#This Row],[Invoice Number]],PR!$D$6:$I$110,4)</f>
        <v>1560.75</v>
      </c>
      <c r="G52" s="23" t="str">
        <f>VLOOKUP(Table4[[#This Row],[Invoice Number]],PR!$D$6:$I$110,5)</f>
        <v>Software licence</v>
      </c>
      <c r="H52" s="48" t="str">
        <f>VLOOKUP(Table4[[#This Row],[Invoice Number]],PR!$D$6:$I$110,6)</f>
        <v>PAY-7048</v>
      </c>
      <c r="I52" s="31"/>
      <c r="J52" s="59">
        <f>VLOOKUP(Table4[[#This Row],[Invoice Number]],PR!$D$6:$M$110,9)</f>
        <v>780.375</v>
      </c>
      <c r="K52" s="59">
        <f>VLOOKUP(Table4[[#This Row],[Invoice Number]],PR!$D$6:$M$110,10)</f>
        <v>780.375</v>
      </c>
      <c r="L52" s="59">
        <f ca="1">PR!N53</f>
        <v>819.39374999999995</v>
      </c>
      <c r="M52" s="2">
        <v>30</v>
      </c>
      <c r="N52" s="2"/>
      <c r="O52" s="3"/>
    </row>
    <row r="53" spans="2:15" x14ac:dyDescent="0.3">
      <c r="B53" s="1">
        <f t="shared" si="1"/>
        <v>49</v>
      </c>
      <c r="C53" s="2" t="str">
        <f>IR!A50</f>
        <v>INV-2026-049</v>
      </c>
      <c r="D53" s="2" t="str">
        <f>VLOOKUP(Table4[[#This Row],[Invoice Number]],PR!$D$6:$I$110,2)</f>
        <v>Alexander Harris</v>
      </c>
      <c r="E53" s="27">
        <f>VLOOKUP(Table4[[#This Row],[Invoice Number]],PR!$D$6:$I$110,3)</f>
        <v>46278</v>
      </c>
      <c r="F53" s="23">
        <f>VLOOKUP(Table4[[#This Row],[Invoice Number]],PR!$D$6:$I$110,4)</f>
        <v>305</v>
      </c>
      <c r="G53" s="23" t="str">
        <f>VLOOKUP(Table4[[#This Row],[Invoice Number]],PR!$D$6:$I$110,5)</f>
        <v>Stationery order</v>
      </c>
      <c r="H53" s="48" t="str">
        <f>VLOOKUP(Table4[[#This Row],[Invoice Number]],PR!$D$6:$I$110,6)</f>
        <v>PAY-7049</v>
      </c>
      <c r="I53" s="31"/>
      <c r="J53" s="59">
        <f>VLOOKUP(Table4[[#This Row],[Invoice Number]],PR!$D$6:$M$110,9)</f>
        <v>152.5</v>
      </c>
      <c r="K53" s="59">
        <f>VLOOKUP(Table4[[#This Row],[Invoice Number]],PR!$D$6:$M$110,10)</f>
        <v>152.5</v>
      </c>
      <c r="L53" s="59">
        <f ca="1">PR!N54</f>
        <v>155.55000000000001</v>
      </c>
      <c r="M53" s="2">
        <v>30</v>
      </c>
      <c r="N53" s="2"/>
      <c r="O53" s="3"/>
    </row>
    <row r="54" spans="2:15" x14ac:dyDescent="0.3">
      <c r="B54" s="1">
        <f t="shared" si="1"/>
        <v>50</v>
      </c>
      <c r="C54" s="2" t="str">
        <f>IR!A51</f>
        <v>INV-2026-050</v>
      </c>
      <c r="D54" s="2" t="str">
        <f>VLOOKUP(Table4[[#This Row],[Invoice Number]],PR!$D$6:$I$110,2)</f>
        <v>Matilda Martin</v>
      </c>
      <c r="E54" s="27">
        <f>VLOOKUP(Table4[[#This Row],[Invoice Number]],PR!$D$6:$I$110,3)</f>
        <v>46281</v>
      </c>
      <c r="F54" s="23">
        <f>VLOOKUP(Table4[[#This Row],[Invoice Number]],PR!$D$6:$I$110,4)</f>
        <v>1240</v>
      </c>
      <c r="G54" s="23" t="str">
        <f>VLOOKUP(Table4[[#This Row],[Invoice Number]],PR!$D$6:$I$110,5)</f>
        <v>Training services</v>
      </c>
      <c r="H54" s="48" t="str">
        <f>VLOOKUP(Table4[[#This Row],[Invoice Number]],PR!$D$6:$I$110,6)</f>
        <v>PAY-7050</v>
      </c>
      <c r="I54" s="31"/>
      <c r="J54" s="59">
        <f>VLOOKUP(Table4[[#This Row],[Invoice Number]],PR!$D$6:$M$110,9)</f>
        <v>1240</v>
      </c>
      <c r="K54" s="59" t="str">
        <f>VLOOKUP(Table4[[#This Row],[Invoice Number]],PR!$D$6:$M$110,10)</f>
        <v>Paid All</v>
      </c>
      <c r="L54" s="59">
        <f ca="1">PR!N55</f>
        <v>1240</v>
      </c>
      <c r="M54" s="2">
        <v>30</v>
      </c>
      <c r="N54" s="2"/>
      <c r="O54" s="3"/>
    </row>
    <row r="55" spans="2:15" x14ac:dyDescent="0.3">
      <c r="B55" s="1">
        <f t="shared" si="1"/>
        <v>51</v>
      </c>
      <c r="C55" s="2" t="str">
        <f>IR!A52</f>
        <v>INV-2026-051</v>
      </c>
      <c r="D55" s="2" t="str">
        <f>VLOOKUP(Table4[[#This Row],[Invoice Number]],PR!$D$6:$I$110,2)</f>
        <v>Sebastian Moore</v>
      </c>
      <c r="E55" s="27">
        <f>VLOOKUP(Table4[[#This Row],[Invoice Number]],PR!$D$6:$I$110,3)</f>
        <v>46284</v>
      </c>
      <c r="F55" s="23">
        <f>VLOOKUP(Table4[[#This Row],[Invoice Number]],PR!$D$6:$I$110,4)</f>
        <v>890.5</v>
      </c>
      <c r="G55" s="23" t="str">
        <f>VLOOKUP(Table4[[#This Row],[Invoice Number]],PR!$D$6:$I$110,5)</f>
        <v>Office supplies</v>
      </c>
      <c r="H55" s="48" t="str">
        <f>VLOOKUP(Table4[[#This Row],[Invoice Number]],PR!$D$6:$I$110,6)</f>
        <v>PAY-7051</v>
      </c>
      <c r="I55" s="31"/>
      <c r="J55" s="59">
        <f>VLOOKUP(Table4[[#This Row],[Invoice Number]],PR!$D$6:$M$110,9)</f>
        <v>445.25</v>
      </c>
      <c r="K55" s="59">
        <f>VLOOKUP(Table4[[#This Row],[Invoice Number]],PR!$D$6:$M$110,10)</f>
        <v>445.25</v>
      </c>
      <c r="L55" s="59">
        <f ca="1">PR!N56</f>
        <v>445.25</v>
      </c>
      <c r="M55" s="2">
        <v>30</v>
      </c>
      <c r="N55" s="2"/>
      <c r="O55" s="3"/>
    </row>
    <row r="56" spans="2:15" x14ac:dyDescent="0.3">
      <c r="B56" s="1">
        <f t="shared" si="1"/>
        <v>52</v>
      </c>
      <c r="C56" s="2" t="str">
        <f>IR!A53</f>
        <v>INV-2026-052</v>
      </c>
      <c r="D56" s="2" t="str">
        <f>VLOOKUP(Table4[[#This Row],[Invoice Number]],PR!$D$6:$I$110,2)</f>
        <v>Harper Taylor</v>
      </c>
      <c r="E56" s="27">
        <f>VLOOKUP(Table4[[#This Row],[Invoice Number]],PR!$D$6:$I$110,3)</f>
        <v>46288</v>
      </c>
      <c r="F56" s="23">
        <f>VLOOKUP(Table4[[#This Row],[Invoice Number]],PR!$D$6:$I$110,4)</f>
        <v>2150</v>
      </c>
      <c r="G56" s="23" t="str">
        <f>VLOOKUP(Table4[[#This Row],[Invoice Number]],PR!$D$6:$I$110,5)</f>
        <v>Consulting services</v>
      </c>
      <c r="H56" s="48" t="str">
        <f>VLOOKUP(Table4[[#This Row],[Invoice Number]],PR!$D$6:$I$110,6)</f>
        <v>PAY-7052</v>
      </c>
      <c r="I56" s="31"/>
      <c r="J56" s="59">
        <f>VLOOKUP(Table4[[#This Row],[Invoice Number]],PR!$D$6:$M$110,9)</f>
        <v>1075</v>
      </c>
      <c r="K56" s="59">
        <f>VLOOKUP(Table4[[#This Row],[Invoice Number]],PR!$D$6:$M$110,10)</f>
        <v>1075</v>
      </c>
      <c r="L56" s="59">
        <f ca="1">PR!N57</f>
        <v>1075</v>
      </c>
      <c r="M56" s="2">
        <v>30</v>
      </c>
      <c r="N56" s="2"/>
      <c r="O56" s="3"/>
    </row>
    <row r="57" spans="2:15" x14ac:dyDescent="0.3">
      <c r="B57" s="1">
        <f t="shared" si="1"/>
        <v>53</v>
      </c>
      <c r="C57" s="2" t="str">
        <f>IR!A54</f>
        <v>INV-2026-053</v>
      </c>
      <c r="D57" s="2" t="str">
        <f>VLOOKUP(Table4[[#This Row],[Invoice Number]],PR!$D$6:$I$110,2)</f>
        <v>Dylan Anderson</v>
      </c>
      <c r="E57" s="27">
        <f>VLOOKUP(Table4[[#This Row],[Invoice Number]],PR!$D$6:$I$110,3)</f>
        <v>46291</v>
      </c>
      <c r="F57" s="23">
        <f>VLOOKUP(Table4[[#This Row],[Invoice Number]],PR!$D$6:$I$110,4)</f>
        <v>475.25</v>
      </c>
      <c r="G57" s="23" t="str">
        <f>VLOOKUP(Table4[[#This Row],[Invoice Number]],PR!$D$6:$I$110,5)</f>
        <v>Equipment purchase</v>
      </c>
      <c r="H57" s="48" t="str">
        <f>VLOOKUP(Table4[[#This Row],[Invoice Number]],PR!$D$6:$I$110,6)</f>
        <v>PAY-7053</v>
      </c>
      <c r="I57" s="31"/>
      <c r="J57" s="59">
        <f>VLOOKUP(Table4[[#This Row],[Invoice Number]],PR!$D$6:$M$110,9)</f>
        <v>237.625</v>
      </c>
      <c r="K57" s="59">
        <f>VLOOKUP(Table4[[#This Row],[Invoice Number]],PR!$D$6:$M$110,10)</f>
        <v>237.625</v>
      </c>
      <c r="L57" s="59">
        <f ca="1">PR!N58</f>
        <v>237.625</v>
      </c>
      <c r="M57" s="2">
        <v>30</v>
      </c>
      <c r="N57" s="2"/>
      <c r="O57" s="3"/>
    </row>
    <row r="58" spans="2:15" x14ac:dyDescent="0.3">
      <c r="B58" s="1">
        <f t="shared" si="1"/>
        <v>54</v>
      </c>
      <c r="C58" s="2" t="str">
        <f>IR!A55</f>
        <v>INV-2026-054</v>
      </c>
      <c r="D58" s="2" t="str">
        <f>VLOOKUP(Table4[[#This Row],[Invoice Number]],PR!$D$6:$I$110,2)</f>
        <v>Violet Thomas</v>
      </c>
      <c r="E58" s="27">
        <f>VLOOKUP(Table4[[#This Row],[Invoice Number]],PR!$D$6:$I$110,3)</f>
        <v>46264</v>
      </c>
      <c r="F58" s="23">
        <f>VLOOKUP(Table4[[#This Row],[Invoice Number]],PR!$D$6:$I$110,4)</f>
        <v>1375</v>
      </c>
      <c r="G58" s="23" t="str">
        <f>VLOOKUP(Table4[[#This Row],[Invoice Number]],PR!$D$6:$I$110,5)</f>
        <v>Monthly subscription</v>
      </c>
      <c r="H58" s="48" t="str">
        <f>VLOOKUP(Table4[[#This Row],[Invoice Number]],PR!$D$6:$I$110,6)</f>
        <v>PAY-7054</v>
      </c>
      <c r="I58" s="31"/>
      <c r="J58" s="59">
        <f>VLOOKUP(Table4[[#This Row],[Invoice Number]],PR!$D$6:$M$110,9)</f>
        <v>687.5</v>
      </c>
      <c r="K58" s="59">
        <f>VLOOKUP(Table4[[#This Row],[Invoice Number]],PR!$D$6:$M$110,10)</f>
        <v>687.5</v>
      </c>
      <c r="L58" s="59">
        <f ca="1">PR!N59</f>
        <v>763.125</v>
      </c>
      <c r="M58" s="2">
        <v>30</v>
      </c>
      <c r="N58" s="2"/>
      <c r="O58" s="3"/>
    </row>
    <row r="59" spans="2:15" x14ac:dyDescent="0.3">
      <c r="B59" s="1">
        <f t="shared" si="1"/>
        <v>55</v>
      </c>
      <c r="C59" s="2" t="str">
        <f>IR!A56</f>
        <v>INV-2026-055</v>
      </c>
      <c r="D59" s="2" t="str">
        <f>VLOOKUP(Table4[[#This Row],[Invoice Number]],PR!$D$6:$I$110,2)</f>
        <v>Adam Jackson</v>
      </c>
      <c r="E59" s="27">
        <f>VLOOKUP(Table4[[#This Row],[Invoice Number]],PR!$D$6:$I$110,3)</f>
        <v>46271</v>
      </c>
      <c r="F59" s="23">
        <f>VLOOKUP(Table4[[#This Row],[Invoice Number]],PR!$D$6:$I$110,4)</f>
        <v>590</v>
      </c>
      <c r="G59" s="23" t="str">
        <f>VLOOKUP(Table4[[#This Row],[Invoice Number]],PR!$D$6:$I$110,5)</f>
        <v>Project delivery</v>
      </c>
      <c r="H59" s="48" t="str">
        <f>VLOOKUP(Table4[[#This Row],[Invoice Number]],PR!$D$6:$I$110,6)</f>
        <v>PAY-7055</v>
      </c>
      <c r="I59" s="31"/>
      <c r="J59" s="59">
        <f>VLOOKUP(Table4[[#This Row],[Invoice Number]],PR!$D$6:$M$110,9)</f>
        <v>295</v>
      </c>
      <c r="K59" s="59">
        <f>VLOOKUP(Table4[[#This Row],[Invoice Number]],PR!$D$6:$M$110,10)</f>
        <v>295</v>
      </c>
      <c r="L59" s="59">
        <f ca="1">PR!N60</f>
        <v>309.75</v>
      </c>
      <c r="M59" s="2">
        <v>30</v>
      </c>
      <c r="N59" s="2"/>
      <c r="O59" s="3"/>
    </row>
    <row r="60" spans="2:15" x14ac:dyDescent="0.3">
      <c r="B60" s="1">
        <f t="shared" si="1"/>
        <v>56</v>
      </c>
      <c r="C60" s="2" t="str">
        <f>IR!A57</f>
        <v>INV-2026-056</v>
      </c>
      <c r="D60" s="2" t="str">
        <f>VLOOKUP(Table4[[#This Row],[Invoice Number]],PR!$D$6:$I$110,2)</f>
        <v>Esme White</v>
      </c>
      <c r="E60" s="27">
        <f>VLOOKUP(Table4[[#This Row],[Invoice Number]],PR!$D$6:$I$110,3)</f>
        <v>46274</v>
      </c>
      <c r="F60" s="23">
        <f>VLOOKUP(Table4[[#This Row],[Invoice Number]],PR!$D$6:$I$110,4)</f>
        <v>1920.5</v>
      </c>
      <c r="G60" s="23" t="str">
        <f>VLOOKUP(Table4[[#This Row],[Invoice Number]],PR!$D$6:$I$110,5)</f>
        <v>Marketing services</v>
      </c>
      <c r="H60" s="48" t="str">
        <f>VLOOKUP(Table4[[#This Row],[Invoice Number]],PR!$D$6:$I$110,6)</f>
        <v>PAY-7056</v>
      </c>
      <c r="I60" s="31"/>
      <c r="J60" s="59">
        <f>VLOOKUP(Table4[[#This Row],[Invoice Number]],PR!$D$6:$M$110,9)</f>
        <v>960.25</v>
      </c>
      <c r="K60" s="59">
        <f>VLOOKUP(Table4[[#This Row],[Invoice Number]],PR!$D$6:$M$110,10)</f>
        <v>960.25</v>
      </c>
      <c r="L60" s="59">
        <f ca="1">PR!N61</f>
        <v>1008.2625</v>
      </c>
      <c r="M60" s="2">
        <v>30</v>
      </c>
      <c r="N60" s="2"/>
      <c r="O60" s="3"/>
    </row>
    <row r="61" spans="2:15" x14ac:dyDescent="0.3">
      <c r="B61" s="1">
        <f t="shared" ref="B61:B104" si="2">B60+1</f>
        <v>57</v>
      </c>
      <c r="C61" s="2" t="str">
        <f>IR!A58</f>
        <v>INV-2026-057</v>
      </c>
      <c r="D61" s="2" t="str">
        <f>VLOOKUP(Table4[[#This Row],[Invoice Number]],PR!$D$6:$I$110,2)</f>
        <v>Ryan Harris</v>
      </c>
      <c r="E61" s="27">
        <f>VLOOKUP(Table4[[#This Row],[Invoice Number]],PR!$D$6:$I$110,3)</f>
        <v>46280</v>
      </c>
      <c r="F61" s="23">
        <f>VLOOKUP(Table4[[#This Row],[Invoice Number]],PR!$D$6:$I$110,4)</f>
        <v>345.75</v>
      </c>
      <c r="G61" s="23" t="str">
        <f>VLOOKUP(Table4[[#This Row],[Invoice Number]],PR!$D$6:$I$110,5)</f>
        <v>Maintenance services</v>
      </c>
      <c r="H61" s="48" t="str">
        <f>VLOOKUP(Table4[[#This Row],[Invoice Number]],PR!$D$6:$I$110,6)</f>
        <v>PAY-7057</v>
      </c>
      <c r="I61" s="31"/>
      <c r="J61" s="59">
        <f>VLOOKUP(Table4[[#This Row],[Invoice Number]],PR!$D$6:$M$110,9)</f>
        <v>172.875</v>
      </c>
      <c r="K61" s="59">
        <f>VLOOKUP(Table4[[#This Row],[Invoice Number]],PR!$D$6:$M$110,10)</f>
        <v>172.875</v>
      </c>
      <c r="L61" s="59">
        <f ca="1">PR!N62</f>
        <v>176.33250000000001</v>
      </c>
      <c r="M61" s="2">
        <v>30</v>
      </c>
      <c r="N61" s="2"/>
      <c r="O61" s="3"/>
    </row>
    <row r="62" spans="2:15" x14ac:dyDescent="0.3">
      <c r="B62" s="1">
        <f t="shared" si="2"/>
        <v>58</v>
      </c>
      <c r="C62" s="2" t="str">
        <f>IR!A59</f>
        <v>INV-2026-058</v>
      </c>
      <c r="D62" s="2" t="str">
        <f>VLOOKUP(Table4[[#This Row],[Invoice Number]],PR!$D$6:$I$110,2)</f>
        <v>Willow Martin</v>
      </c>
      <c r="E62" s="27">
        <f>VLOOKUP(Table4[[#This Row],[Invoice Number]],PR!$D$6:$I$110,3)</f>
        <v>46285</v>
      </c>
      <c r="F62" s="23">
        <f>VLOOKUP(Table4[[#This Row],[Invoice Number]],PR!$D$6:$I$110,4)</f>
        <v>1080</v>
      </c>
      <c r="G62" s="23" t="str">
        <f>VLOOKUP(Table4[[#This Row],[Invoice Number]],PR!$D$6:$I$110,5)</f>
        <v>Software licence</v>
      </c>
      <c r="H62" s="48" t="str">
        <f>VLOOKUP(Table4[[#This Row],[Invoice Number]],PR!$D$6:$I$110,6)</f>
        <v>PAY-7058</v>
      </c>
      <c r="I62" s="31"/>
      <c r="J62" s="59">
        <f>VLOOKUP(Table4[[#This Row],[Invoice Number]],PR!$D$6:$M$110,9)</f>
        <v>540</v>
      </c>
      <c r="K62" s="59">
        <f>VLOOKUP(Table4[[#This Row],[Invoice Number]],PR!$D$6:$M$110,10)</f>
        <v>540</v>
      </c>
      <c r="L62" s="59">
        <f ca="1">PR!N63</f>
        <v>540</v>
      </c>
      <c r="M62" s="2">
        <v>30</v>
      </c>
      <c r="N62" s="2"/>
      <c r="O62" s="3"/>
    </row>
    <row r="63" spans="2:15" x14ac:dyDescent="0.3">
      <c r="B63" s="1">
        <f t="shared" si="2"/>
        <v>59</v>
      </c>
      <c r="C63" s="2" t="str">
        <f>IR!A60</f>
        <v>INV-2026-059</v>
      </c>
      <c r="D63" s="2" t="str">
        <f>VLOOKUP(Table4[[#This Row],[Invoice Number]],PR!$D$6:$I$110,2)</f>
        <v>Nathan Moore</v>
      </c>
      <c r="E63" s="27">
        <f>VLOOKUP(Table4[[#This Row],[Invoice Number]],PR!$D$6:$I$110,3)</f>
        <v>46290</v>
      </c>
      <c r="F63" s="23">
        <f>VLOOKUP(Table4[[#This Row],[Invoice Number]],PR!$D$6:$I$110,4)</f>
        <v>2420.25</v>
      </c>
      <c r="G63" s="23" t="str">
        <f>VLOOKUP(Table4[[#This Row],[Invoice Number]],PR!$D$6:$I$110,5)</f>
        <v>Stationery order</v>
      </c>
      <c r="H63" s="48" t="str">
        <f>VLOOKUP(Table4[[#This Row],[Invoice Number]],PR!$D$6:$I$110,6)</f>
        <v>PAY-7059</v>
      </c>
      <c r="I63" s="31"/>
      <c r="J63" s="59">
        <f>VLOOKUP(Table4[[#This Row],[Invoice Number]],PR!$D$6:$M$110,9)</f>
        <v>1210.125</v>
      </c>
      <c r="K63" s="59">
        <f>VLOOKUP(Table4[[#This Row],[Invoice Number]],PR!$D$6:$M$110,10)</f>
        <v>1210.125</v>
      </c>
      <c r="L63" s="59">
        <f ca="1">PR!N64</f>
        <v>1210.125</v>
      </c>
      <c r="M63" s="2">
        <v>30</v>
      </c>
      <c r="N63" s="2"/>
      <c r="O63" s="3"/>
    </row>
    <row r="64" spans="2:15" x14ac:dyDescent="0.3">
      <c r="B64" s="1">
        <f t="shared" si="2"/>
        <v>60</v>
      </c>
      <c r="C64" s="2" t="str">
        <f>IR!A61</f>
        <v>INV-2026-060</v>
      </c>
      <c r="D64" s="2" t="str">
        <f>VLOOKUP(Table4[[#This Row],[Invoice Number]],PR!$D$6:$I$110,2)</f>
        <v>Luna Taylor</v>
      </c>
      <c r="E64" s="27">
        <f>VLOOKUP(Table4[[#This Row],[Invoice Number]],PR!$D$6:$I$110,3)</f>
        <v>46297</v>
      </c>
      <c r="F64" s="23">
        <f>VLOOKUP(Table4[[#This Row],[Invoice Number]],PR!$D$6:$I$110,4)</f>
        <v>695</v>
      </c>
      <c r="G64" s="23" t="str">
        <f>VLOOKUP(Table4[[#This Row],[Invoice Number]],PR!$D$6:$I$110,5)</f>
        <v>Training services</v>
      </c>
      <c r="H64" s="48" t="str">
        <f>VLOOKUP(Table4[[#This Row],[Invoice Number]],PR!$D$6:$I$110,6)</f>
        <v>PAY-7060</v>
      </c>
      <c r="I64" s="31"/>
      <c r="J64" s="59">
        <f>VLOOKUP(Table4[[#This Row],[Invoice Number]],PR!$D$6:$M$110,9)</f>
        <v>347.5</v>
      </c>
      <c r="K64" s="59">
        <f>VLOOKUP(Table4[[#This Row],[Invoice Number]],PR!$D$6:$M$110,10)</f>
        <v>347.5</v>
      </c>
      <c r="L64" s="59">
        <f ca="1">PR!N65</f>
        <v>347.5</v>
      </c>
      <c r="M64" s="2">
        <v>30</v>
      </c>
      <c r="N64" s="2"/>
      <c r="O64" s="3"/>
    </row>
    <row r="65" spans="2:15" x14ac:dyDescent="0.3">
      <c r="B65" s="1">
        <f t="shared" si="2"/>
        <v>61</v>
      </c>
      <c r="C65" s="2" t="str">
        <f>IR!A62</f>
        <v>INV-2026-061</v>
      </c>
      <c r="D65" s="2" t="str">
        <f>VLOOKUP(Table4[[#This Row],[Invoice Number]],PR!$D$6:$I$110,2)</f>
        <v>Isaac Anderson</v>
      </c>
      <c r="E65" s="27">
        <f>VLOOKUP(Table4[[#This Row],[Invoice Number]],PR!$D$6:$I$110,3)</f>
        <v>46300</v>
      </c>
      <c r="F65" s="23">
        <f>VLOOKUP(Table4[[#This Row],[Invoice Number]],PR!$D$6:$I$110,4)</f>
        <v>1325.5</v>
      </c>
      <c r="G65" s="23" t="str">
        <f>VLOOKUP(Table4[[#This Row],[Invoice Number]],PR!$D$6:$I$110,5)</f>
        <v>Office supplies</v>
      </c>
      <c r="H65" s="48" t="str">
        <f>VLOOKUP(Table4[[#This Row],[Invoice Number]],PR!$D$6:$I$110,6)</f>
        <v>PAY-7061</v>
      </c>
      <c r="I65" s="31"/>
      <c r="J65" s="59">
        <f>VLOOKUP(Table4[[#This Row],[Invoice Number]],PR!$D$6:$M$110,9)</f>
        <v>662.75</v>
      </c>
      <c r="K65" s="59">
        <f>VLOOKUP(Table4[[#This Row],[Invoice Number]],PR!$D$6:$M$110,10)</f>
        <v>662.75</v>
      </c>
      <c r="L65" s="59">
        <f ca="1">PR!N66</f>
        <v>662.75</v>
      </c>
      <c r="M65" s="2">
        <v>30</v>
      </c>
      <c r="N65" s="2"/>
      <c r="O65" s="3"/>
    </row>
    <row r="66" spans="2:15" x14ac:dyDescent="0.3">
      <c r="B66" s="1">
        <f t="shared" si="2"/>
        <v>62</v>
      </c>
      <c r="C66" s="2" t="str">
        <f>IR!A63</f>
        <v>INV-2026-062</v>
      </c>
      <c r="D66" s="2" t="str">
        <f>VLOOKUP(Table4[[#This Row],[Invoice Number]],PR!$D$6:$I$110,2)</f>
        <v>Erin Thomas</v>
      </c>
      <c r="E66" s="27">
        <f>VLOOKUP(Table4[[#This Row],[Invoice Number]],PR!$D$6:$I$110,3)</f>
        <v>46303</v>
      </c>
      <c r="F66" s="23">
        <f>VLOOKUP(Table4[[#This Row],[Invoice Number]],PR!$D$6:$I$110,4)</f>
        <v>550</v>
      </c>
      <c r="G66" s="23" t="str">
        <f>VLOOKUP(Table4[[#This Row],[Invoice Number]],PR!$D$6:$I$110,5)</f>
        <v>Consulting services</v>
      </c>
      <c r="H66" s="48" t="str">
        <f>VLOOKUP(Table4[[#This Row],[Invoice Number]],PR!$D$6:$I$110,6)</f>
        <v>PAY-7062</v>
      </c>
      <c r="I66" s="31"/>
      <c r="J66" s="59">
        <f>VLOOKUP(Table4[[#This Row],[Invoice Number]],PR!$D$6:$M$110,9)</f>
        <v>275</v>
      </c>
      <c r="K66" s="59">
        <f>VLOOKUP(Table4[[#This Row],[Invoice Number]],PR!$D$6:$M$110,10)</f>
        <v>275</v>
      </c>
      <c r="L66" s="59">
        <f ca="1">PR!N67</f>
        <v>275</v>
      </c>
      <c r="M66" s="2">
        <v>30</v>
      </c>
      <c r="N66" s="2"/>
      <c r="O66" s="3"/>
    </row>
    <row r="67" spans="2:15" x14ac:dyDescent="0.3">
      <c r="B67" s="1">
        <f t="shared" si="2"/>
        <v>63</v>
      </c>
      <c r="C67" s="2" t="str">
        <f>IR!A64</f>
        <v>INV-2026-063</v>
      </c>
      <c r="D67" s="2" t="str">
        <f>VLOOKUP(Table4[[#This Row],[Invoice Number]],PR!$D$6:$I$110,2)</f>
        <v>Caleb Jackson</v>
      </c>
      <c r="E67" s="27">
        <f>VLOOKUP(Table4[[#This Row],[Invoice Number]],PR!$D$6:$I$110,3)</f>
        <v>46306</v>
      </c>
      <c r="F67" s="23">
        <f>VLOOKUP(Table4[[#This Row],[Invoice Number]],PR!$D$6:$I$110,4)</f>
        <v>2780.75</v>
      </c>
      <c r="G67" s="23" t="str">
        <f>VLOOKUP(Table4[[#This Row],[Invoice Number]],PR!$D$6:$I$110,5)</f>
        <v>Equipment purchase</v>
      </c>
      <c r="H67" s="48" t="str">
        <f>VLOOKUP(Table4[[#This Row],[Invoice Number]],PR!$D$6:$I$110,6)</f>
        <v>PAY-7063</v>
      </c>
      <c r="I67" s="31"/>
      <c r="J67" s="59">
        <f>VLOOKUP(Table4[[#This Row],[Invoice Number]],PR!$D$6:$M$110,9)</f>
        <v>1390.375</v>
      </c>
      <c r="K67" s="59">
        <f>VLOOKUP(Table4[[#This Row],[Invoice Number]],PR!$D$6:$M$110,10)</f>
        <v>1390.375</v>
      </c>
      <c r="L67" s="59">
        <f ca="1">PR!N68</f>
        <v>1390.375</v>
      </c>
      <c r="M67" s="2">
        <v>30</v>
      </c>
      <c r="N67" s="2"/>
      <c r="O67" s="3"/>
    </row>
    <row r="68" spans="2:15" x14ac:dyDescent="0.3">
      <c r="B68" s="1">
        <f t="shared" si="2"/>
        <v>64</v>
      </c>
      <c r="C68" s="2" t="str">
        <f>IR!A65</f>
        <v>INV-2026-064</v>
      </c>
      <c r="D68" s="2" t="str">
        <f>VLOOKUP(Table4[[#This Row],[Invoice Number]],PR!$D$6:$I$110,2)</f>
        <v>Georgia White</v>
      </c>
      <c r="E68" s="27">
        <f>VLOOKUP(Table4[[#This Row],[Invoice Number]],PR!$D$6:$I$110,3)</f>
        <v>46309</v>
      </c>
      <c r="F68" s="23">
        <f>VLOOKUP(Table4[[#This Row],[Invoice Number]],PR!$D$6:$I$110,4)</f>
        <v>810</v>
      </c>
      <c r="G68" s="23" t="str">
        <f>VLOOKUP(Table4[[#This Row],[Invoice Number]],PR!$D$6:$I$110,5)</f>
        <v>Monthly subscription</v>
      </c>
      <c r="H68" s="48" t="str">
        <f>VLOOKUP(Table4[[#This Row],[Invoice Number]],PR!$D$6:$I$110,6)</f>
        <v>PAY-7064</v>
      </c>
      <c r="I68" s="31"/>
      <c r="J68" s="59">
        <f>VLOOKUP(Table4[[#This Row],[Invoice Number]],PR!$D$6:$M$110,9)</f>
        <v>405</v>
      </c>
      <c r="K68" s="59">
        <f>VLOOKUP(Table4[[#This Row],[Invoice Number]],PR!$D$6:$M$110,10)</f>
        <v>405</v>
      </c>
      <c r="L68" s="59">
        <f ca="1">PR!N69</f>
        <v>405</v>
      </c>
      <c r="M68" s="2">
        <v>30</v>
      </c>
      <c r="N68" s="2"/>
      <c r="O68" s="3"/>
    </row>
    <row r="69" spans="2:15" x14ac:dyDescent="0.3">
      <c r="B69" s="1">
        <f t="shared" si="2"/>
        <v>65</v>
      </c>
      <c r="C69" s="2" t="str">
        <f>IR!A66</f>
        <v>INV-2026-065</v>
      </c>
      <c r="D69" s="2" t="str">
        <f>VLOOKUP(Table4[[#This Row],[Invoice Number]],PR!$D$6:$I$110,2)</f>
        <v>Aaron Harris</v>
      </c>
      <c r="E69" s="27">
        <f>VLOOKUP(Table4[[#This Row],[Invoice Number]],PR!$D$6:$I$110,3)</f>
        <v>46311</v>
      </c>
      <c r="F69" s="23">
        <f>VLOOKUP(Table4[[#This Row],[Invoice Number]],PR!$D$6:$I$110,4)</f>
        <v>1465.25</v>
      </c>
      <c r="G69" s="23" t="str">
        <f>VLOOKUP(Table4[[#This Row],[Invoice Number]],PR!$D$6:$I$110,5)</f>
        <v>Project delivery</v>
      </c>
      <c r="H69" s="48" t="str">
        <f>VLOOKUP(Table4[[#This Row],[Invoice Number]],PR!$D$6:$I$110,6)</f>
        <v>PAY-7065</v>
      </c>
      <c r="I69" s="31"/>
      <c r="J69" s="59">
        <f>VLOOKUP(Table4[[#This Row],[Invoice Number]],PR!$D$6:$M$110,9)</f>
        <v>732.625</v>
      </c>
      <c r="K69" s="59">
        <f>VLOOKUP(Table4[[#This Row],[Invoice Number]],PR!$D$6:$M$110,10)</f>
        <v>732.625</v>
      </c>
      <c r="L69" s="59">
        <f ca="1">PR!N70</f>
        <v>732.625</v>
      </c>
      <c r="M69" s="2">
        <v>30</v>
      </c>
      <c r="N69" s="2"/>
      <c r="O69" s="3"/>
    </row>
    <row r="70" spans="2:15" x14ac:dyDescent="0.3">
      <c r="B70" s="1">
        <f t="shared" si="2"/>
        <v>66</v>
      </c>
      <c r="C70" s="2" t="str">
        <f>IR!A67</f>
        <v>INV-2026-066</v>
      </c>
      <c r="D70" s="2" t="str">
        <f>VLOOKUP(Table4[[#This Row],[Invoice Number]],PR!$D$6:$I$110,2)</f>
        <v>Holly Martin</v>
      </c>
      <c r="E70" s="27">
        <f>VLOOKUP(Table4[[#This Row],[Invoice Number]],PR!$D$6:$I$110,3)</f>
        <v>46251</v>
      </c>
      <c r="F70" s="23">
        <f>VLOOKUP(Table4[[#This Row],[Invoice Number]],PR!$D$6:$I$110,4)</f>
        <v>430</v>
      </c>
      <c r="G70" s="23" t="str">
        <f>VLOOKUP(Table4[[#This Row],[Invoice Number]],PR!$D$6:$I$110,5)</f>
        <v>Marketing services</v>
      </c>
      <c r="H70" s="48" t="str">
        <f>VLOOKUP(Table4[[#This Row],[Invoice Number]],PR!$D$6:$I$110,6)</f>
        <v>PAY-7066</v>
      </c>
      <c r="I70" s="31"/>
      <c r="J70" s="59">
        <f>VLOOKUP(Table4[[#This Row],[Invoice Number]],PR!$D$6:$M$110,9)</f>
        <v>215</v>
      </c>
      <c r="K70" s="59">
        <f>VLOOKUP(Table4[[#This Row],[Invoice Number]],PR!$D$6:$M$110,10)</f>
        <v>215</v>
      </c>
      <c r="L70" s="59">
        <f ca="1">PR!N71</f>
        <v>251.55</v>
      </c>
      <c r="M70" s="2">
        <v>30</v>
      </c>
      <c r="N70" s="2"/>
      <c r="O70" s="3"/>
    </row>
    <row r="71" spans="2:15" x14ac:dyDescent="0.3">
      <c r="B71" s="1">
        <f t="shared" si="2"/>
        <v>67</v>
      </c>
      <c r="C71" s="2" t="str">
        <f>IR!A68</f>
        <v>INV-2026-067</v>
      </c>
      <c r="D71" s="2" t="str">
        <f>VLOOKUP(Table4[[#This Row],[Invoice Number]],PR!$D$6:$I$110,2)</f>
        <v>Connor Moore</v>
      </c>
      <c r="E71" s="27">
        <f>VLOOKUP(Table4[[#This Row],[Invoice Number]],PR!$D$6:$I$110,3)</f>
        <v>46255</v>
      </c>
      <c r="F71" s="23">
        <f>VLOOKUP(Table4[[#This Row],[Invoice Number]],PR!$D$6:$I$110,4)</f>
        <v>1020.5</v>
      </c>
      <c r="G71" s="23" t="str">
        <f>VLOOKUP(Table4[[#This Row],[Invoice Number]],PR!$D$6:$I$110,5)</f>
        <v>Maintenance services</v>
      </c>
      <c r="H71" s="48" t="str">
        <f>VLOOKUP(Table4[[#This Row],[Invoice Number]],PR!$D$6:$I$110,6)</f>
        <v>PAY-7067</v>
      </c>
      <c r="I71" s="31"/>
      <c r="J71" s="59">
        <f>VLOOKUP(Table4[[#This Row],[Invoice Number]],PR!$D$6:$M$110,9)</f>
        <v>510.25</v>
      </c>
      <c r="K71" s="59">
        <f>VLOOKUP(Table4[[#This Row],[Invoice Number]],PR!$D$6:$M$110,10)</f>
        <v>510.25</v>
      </c>
      <c r="L71" s="59">
        <f ca="1">PR!N72</f>
        <v>596.99250000000006</v>
      </c>
      <c r="M71" s="2">
        <v>30</v>
      </c>
      <c r="N71" s="2"/>
      <c r="O71" s="3"/>
    </row>
    <row r="72" spans="2:15" x14ac:dyDescent="0.3">
      <c r="B72" s="1">
        <f t="shared" si="2"/>
        <v>68</v>
      </c>
      <c r="C72" s="2" t="str">
        <f>IR!A69</f>
        <v>INV-2026-068</v>
      </c>
      <c r="D72" s="2" t="str">
        <f>VLOOKUP(Table4[[#This Row],[Invoice Number]],PR!$D$6:$I$110,2)</f>
        <v>Megan Taylor</v>
      </c>
      <c r="E72" s="27">
        <f>VLOOKUP(Table4[[#This Row],[Invoice Number]],PR!$D$6:$I$110,3)</f>
        <v>46260</v>
      </c>
      <c r="F72" s="23">
        <f>VLOOKUP(Table4[[#This Row],[Invoice Number]],PR!$D$6:$I$110,4)</f>
        <v>1735</v>
      </c>
      <c r="G72" s="23" t="str">
        <f>VLOOKUP(Table4[[#This Row],[Invoice Number]],PR!$D$6:$I$110,5)</f>
        <v>Software licence</v>
      </c>
      <c r="H72" s="48" t="str">
        <f>VLOOKUP(Table4[[#This Row],[Invoice Number]],PR!$D$6:$I$110,6)</f>
        <v>PAY-7068</v>
      </c>
      <c r="I72" s="31"/>
      <c r="J72" s="59">
        <f>VLOOKUP(Table4[[#This Row],[Invoice Number]],PR!$D$6:$M$110,9)</f>
        <v>867.5</v>
      </c>
      <c r="K72" s="59">
        <f>VLOOKUP(Table4[[#This Row],[Invoice Number]],PR!$D$6:$M$110,10)</f>
        <v>867.5</v>
      </c>
      <c r="L72" s="59">
        <f ca="1">PR!N73</f>
        <v>988.95</v>
      </c>
      <c r="M72" s="2">
        <v>30</v>
      </c>
      <c r="N72" s="2"/>
      <c r="O72" s="3"/>
    </row>
    <row r="73" spans="2:15" x14ac:dyDescent="0.3">
      <c r="B73" s="1">
        <f t="shared" si="2"/>
        <v>69</v>
      </c>
      <c r="C73" s="2" t="str">
        <f>IR!A70</f>
        <v>INV-2026-069</v>
      </c>
      <c r="D73" s="2" t="str">
        <f>VLOOKUP(Table4[[#This Row],[Invoice Number]],PR!$D$6:$I$110,2)</f>
        <v>Reuben Anderson</v>
      </c>
      <c r="E73" s="27">
        <f>VLOOKUP(Table4[[#This Row],[Invoice Number]],PR!$D$6:$I$110,3)</f>
        <v>46265</v>
      </c>
      <c r="F73" s="23">
        <f>VLOOKUP(Table4[[#This Row],[Invoice Number]],PR!$D$6:$I$110,4)</f>
        <v>290.75</v>
      </c>
      <c r="G73" s="23" t="str">
        <f>VLOOKUP(Table4[[#This Row],[Invoice Number]],PR!$D$6:$I$110,5)</f>
        <v>Stationery order</v>
      </c>
      <c r="H73" s="48" t="str">
        <f>VLOOKUP(Table4[[#This Row],[Invoice Number]],PR!$D$6:$I$110,6)</f>
        <v>PAY-7069</v>
      </c>
      <c r="I73" s="31"/>
      <c r="J73" s="59">
        <f>VLOOKUP(Table4[[#This Row],[Invoice Number]],PR!$D$6:$M$110,9)</f>
        <v>145.375</v>
      </c>
      <c r="K73" s="59">
        <f>VLOOKUP(Table4[[#This Row],[Invoice Number]],PR!$D$6:$M$110,10)</f>
        <v>145.375</v>
      </c>
      <c r="L73" s="59">
        <f ca="1">PR!N74</f>
        <v>161.36625000000001</v>
      </c>
      <c r="M73" s="2">
        <v>30</v>
      </c>
      <c r="N73" s="2"/>
      <c r="O73" s="3"/>
    </row>
    <row r="74" spans="2:15" x14ac:dyDescent="0.3">
      <c r="B74" s="1">
        <f t="shared" si="2"/>
        <v>70</v>
      </c>
      <c r="C74" s="2" t="str">
        <f>IR!A71</f>
        <v>INV-2026-070</v>
      </c>
      <c r="D74" s="2" t="str">
        <f>VLOOKUP(Table4[[#This Row],[Invoice Number]],PR!$D$6:$I$110,2)</f>
        <v>Imogen Thomas</v>
      </c>
      <c r="E74" s="27">
        <f>VLOOKUP(Table4[[#This Row],[Invoice Number]],PR!$D$6:$I$110,3)</f>
        <v>46266</v>
      </c>
      <c r="F74" s="23">
        <f>VLOOKUP(Table4[[#This Row],[Invoice Number]],PR!$D$6:$I$110,4)</f>
        <v>1190</v>
      </c>
      <c r="G74" s="23" t="str">
        <f>VLOOKUP(Table4[[#This Row],[Invoice Number]],PR!$D$6:$I$110,5)</f>
        <v>Training services</v>
      </c>
      <c r="H74" s="48" t="str">
        <f>VLOOKUP(Table4[[#This Row],[Invoice Number]],PR!$D$6:$I$110,6)</f>
        <v>PAY-7070</v>
      </c>
      <c r="I74" s="31"/>
      <c r="J74" s="59">
        <f>VLOOKUP(Table4[[#This Row],[Invoice Number]],PR!$D$6:$M$110,9)</f>
        <v>595</v>
      </c>
      <c r="K74" s="59">
        <f>VLOOKUP(Table4[[#This Row],[Invoice Number]],PR!$D$6:$M$110,10)</f>
        <v>595</v>
      </c>
      <c r="L74" s="59">
        <f ca="1">PR!N75</f>
        <v>642.6</v>
      </c>
      <c r="M74" s="2">
        <v>30</v>
      </c>
      <c r="N74" s="2"/>
      <c r="O74" s="3"/>
    </row>
    <row r="75" spans="2:15" x14ac:dyDescent="0.3">
      <c r="B75" s="1">
        <f t="shared" si="2"/>
        <v>71</v>
      </c>
      <c r="C75" s="2" t="str">
        <f>IR!A72</f>
        <v>INV-2026-071</v>
      </c>
      <c r="D75" s="2" t="str">
        <f>VLOOKUP(Table4[[#This Row],[Invoice Number]],PR!$D$6:$I$110,2)</f>
        <v>David Jackson</v>
      </c>
      <c r="E75" s="27">
        <f>VLOOKUP(Table4[[#This Row],[Invoice Number]],PR!$D$6:$I$110,3)</f>
        <v>46271</v>
      </c>
      <c r="F75" s="23">
        <f>VLOOKUP(Table4[[#This Row],[Invoice Number]],PR!$D$6:$I$110,4)</f>
        <v>745.5</v>
      </c>
      <c r="G75" s="23" t="str">
        <f>VLOOKUP(Table4[[#This Row],[Invoice Number]],PR!$D$6:$I$110,5)</f>
        <v>Office supplies</v>
      </c>
      <c r="H75" s="48" t="str">
        <f>VLOOKUP(Table4[[#This Row],[Invoice Number]],PR!$D$6:$I$110,6)</f>
        <v>PAY-7071</v>
      </c>
      <c r="I75" s="31"/>
      <c r="J75" s="59">
        <f>VLOOKUP(Table4[[#This Row],[Invoice Number]],PR!$D$6:$M$110,9)</f>
        <v>372.75</v>
      </c>
      <c r="K75" s="59">
        <f>VLOOKUP(Table4[[#This Row],[Invoice Number]],PR!$D$6:$M$110,10)</f>
        <v>372.75</v>
      </c>
      <c r="L75" s="59">
        <f ca="1">PR!N76</f>
        <v>391.38749999999999</v>
      </c>
      <c r="M75" s="2">
        <v>30</v>
      </c>
      <c r="N75" s="2"/>
      <c r="O75" s="3"/>
    </row>
    <row r="76" spans="2:15" x14ac:dyDescent="0.3">
      <c r="B76" s="1">
        <f t="shared" si="2"/>
        <v>72</v>
      </c>
      <c r="C76" s="2" t="str">
        <f>IR!A73</f>
        <v>INV-2026-072</v>
      </c>
      <c r="D76" s="2" t="str">
        <f>VLOOKUP(Table4[[#This Row],[Invoice Number]],PR!$D$6:$I$110,2)</f>
        <v>Arabella White</v>
      </c>
      <c r="E76" s="27">
        <f>VLOOKUP(Table4[[#This Row],[Invoice Number]],PR!$D$6:$I$110,3)</f>
        <v>46275</v>
      </c>
      <c r="F76" s="23">
        <f>VLOOKUP(Table4[[#This Row],[Invoice Number]],PR!$D$6:$I$110,4)</f>
        <v>2280</v>
      </c>
      <c r="G76" s="23" t="str">
        <f>VLOOKUP(Table4[[#This Row],[Invoice Number]],PR!$D$6:$I$110,5)</f>
        <v>Consulting services</v>
      </c>
      <c r="H76" s="48" t="str">
        <f>VLOOKUP(Table4[[#This Row],[Invoice Number]],PR!$D$6:$I$110,6)</f>
        <v>PAY-7072</v>
      </c>
      <c r="I76" s="31"/>
      <c r="J76" s="59">
        <f>VLOOKUP(Table4[[#This Row],[Invoice Number]],PR!$D$6:$M$110,9)</f>
        <v>1140</v>
      </c>
      <c r="K76" s="59">
        <f>VLOOKUP(Table4[[#This Row],[Invoice Number]],PR!$D$6:$M$110,10)</f>
        <v>1140</v>
      </c>
      <c r="L76" s="59">
        <f ca="1">PR!N77</f>
        <v>1197</v>
      </c>
      <c r="M76" s="2">
        <v>30</v>
      </c>
      <c r="N76" s="2"/>
      <c r="O76" s="3"/>
    </row>
    <row r="77" spans="2:15" x14ac:dyDescent="0.3">
      <c r="B77" s="1">
        <f t="shared" si="2"/>
        <v>73</v>
      </c>
      <c r="C77" s="2" t="str">
        <f>IR!A74</f>
        <v>INV-2026-073</v>
      </c>
      <c r="D77" s="2" t="str">
        <f>VLOOKUP(Table4[[#This Row],[Invoice Number]],PR!$D$6:$I$110,2)</f>
        <v>Michael Harris</v>
      </c>
      <c r="E77" s="27">
        <f>VLOOKUP(Table4[[#This Row],[Invoice Number]],PR!$D$6:$I$110,3)</f>
        <v>46279</v>
      </c>
      <c r="F77" s="23">
        <f>VLOOKUP(Table4[[#This Row],[Invoice Number]],PR!$D$6:$I$110,4)</f>
        <v>615.25</v>
      </c>
      <c r="G77" s="23" t="str">
        <f>VLOOKUP(Table4[[#This Row],[Invoice Number]],PR!$D$6:$I$110,5)</f>
        <v>Equipment purchase</v>
      </c>
      <c r="H77" s="48" t="str">
        <f>VLOOKUP(Table4[[#This Row],[Invoice Number]],PR!$D$6:$I$110,6)</f>
        <v>PAY-7073</v>
      </c>
      <c r="I77" s="31"/>
      <c r="J77" s="59">
        <f>VLOOKUP(Table4[[#This Row],[Invoice Number]],PR!$D$6:$M$110,9)</f>
        <v>307.625</v>
      </c>
      <c r="K77" s="59">
        <f>VLOOKUP(Table4[[#This Row],[Invoice Number]],PR!$D$6:$M$110,10)</f>
        <v>307.625</v>
      </c>
      <c r="L77" s="59">
        <f ca="1">PR!N78</f>
        <v>313.77749999999997</v>
      </c>
      <c r="M77" s="2">
        <v>30</v>
      </c>
      <c r="N77" s="2"/>
      <c r="O77" s="3"/>
    </row>
    <row r="78" spans="2:15" x14ac:dyDescent="0.3">
      <c r="B78" s="1">
        <f t="shared" si="2"/>
        <v>74</v>
      </c>
      <c r="C78" s="2" t="str">
        <f>IR!A75</f>
        <v>INV-2026-074</v>
      </c>
      <c r="D78" s="2" t="str">
        <f>VLOOKUP(Table4[[#This Row],[Invoice Number]],PR!$D$6:$I$110,2)</f>
        <v>Eliza Martin</v>
      </c>
      <c r="E78" s="27">
        <f>VLOOKUP(Table4[[#This Row],[Invoice Number]],PR!$D$6:$I$110,3)</f>
        <v>46283</v>
      </c>
      <c r="F78" s="23">
        <f>VLOOKUP(Table4[[#This Row],[Invoice Number]],PR!$D$6:$I$110,4)</f>
        <v>1410</v>
      </c>
      <c r="G78" s="23" t="str">
        <f>VLOOKUP(Table4[[#This Row],[Invoice Number]],PR!$D$6:$I$110,5)</f>
        <v>Monthly subscription</v>
      </c>
      <c r="H78" s="48" t="str">
        <f>VLOOKUP(Table4[[#This Row],[Invoice Number]],PR!$D$6:$I$110,6)</f>
        <v>PAY-7074</v>
      </c>
      <c r="I78" s="31"/>
      <c r="J78" s="59">
        <f>VLOOKUP(Table4[[#This Row],[Invoice Number]],PR!$D$6:$M$110,9)</f>
        <v>1410</v>
      </c>
      <c r="K78" s="59" t="str">
        <f>VLOOKUP(Table4[[#This Row],[Invoice Number]],PR!$D$6:$M$110,10)</f>
        <v>Paid All</v>
      </c>
      <c r="L78" s="59">
        <f ca="1">PR!N79</f>
        <v>1410</v>
      </c>
      <c r="M78" s="2">
        <v>30</v>
      </c>
      <c r="N78" s="2"/>
      <c r="O78" s="3"/>
    </row>
    <row r="79" spans="2:15" x14ac:dyDescent="0.3">
      <c r="B79" s="1">
        <f t="shared" si="2"/>
        <v>75</v>
      </c>
      <c r="C79" s="2" t="str">
        <f>IR!A76</f>
        <v>INV-2026-075</v>
      </c>
      <c r="D79" s="2" t="str">
        <f>VLOOKUP(Table4[[#This Row],[Invoice Number]],PR!$D$6:$I$110,2)</f>
        <v>Christopher Moore</v>
      </c>
      <c r="E79" s="27">
        <f>VLOOKUP(Table4[[#This Row],[Invoice Number]],PR!$D$6:$I$110,3)</f>
        <v>46287</v>
      </c>
      <c r="F79" s="23">
        <f>VLOOKUP(Table4[[#This Row],[Invoice Number]],PR!$D$6:$I$110,4)</f>
        <v>520.5</v>
      </c>
      <c r="G79" s="23" t="str">
        <f>VLOOKUP(Table4[[#This Row],[Invoice Number]],PR!$D$6:$I$110,5)</f>
        <v>Project delivery</v>
      </c>
      <c r="H79" s="48" t="str">
        <f>VLOOKUP(Table4[[#This Row],[Invoice Number]],PR!$D$6:$I$110,6)</f>
        <v>PAY-7075</v>
      </c>
      <c r="I79" s="31"/>
      <c r="J79" s="59">
        <f>VLOOKUP(Table4[[#This Row],[Invoice Number]],PR!$D$6:$M$110,9)</f>
        <v>260.25</v>
      </c>
      <c r="K79" s="59">
        <f>VLOOKUP(Table4[[#This Row],[Invoice Number]],PR!$D$6:$M$110,10)</f>
        <v>260.25</v>
      </c>
      <c r="L79" s="59">
        <f ca="1">PR!N80</f>
        <v>260.25</v>
      </c>
      <c r="M79" s="2">
        <v>30</v>
      </c>
      <c r="N79" s="2"/>
      <c r="O79" s="3"/>
    </row>
    <row r="80" spans="2:15" x14ac:dyDescent="0.3">
      <c r="B80" s="1">
        <f t="shared" si="2"/>
        <v>76</v>
      </c>
      <c r="C80" s="2" t="str">
        <f>IR!A77</f>
        <v>INV-2026-076</v>
      </c>
      <c r="D80" s="2" t="str">
        <f>VLOOKUP(Table4[[#This Row],[Invoice Number]],PR!$D$6:$I$110,2)</f>
        <v>Clara Taylor</v>
      </c>
      <c r="E80" s="27">
        <f>VLOOKUP(Table4[[#This Row],[Invoice Number]],PR!$D$6:$I$110,3)</f>
        <v>46291</v>
      </c>
      <c r="F80" s="23">
        <f>VLOOKUP(Table4[[#This Row],[Invoice Number]],PR!$D$6:$I$110,4)</f>
        <v>1860.75</v>
      </c>
      <c r="G80" s="23" t="str">
        <f>VLOOKUP(Table4[[#This Row],[Invoice Number]],PR!$D$6:$I$110,5)</f>
        <v>Marketing services</v>
      </c>
      <c r="H80" s="48" t="str">
        <f>VLOOKUP(Table4[[#This Row],[Invoice Number]],PR!$D$6:$I$110,6)</f>
        <v>PAY-7076</v>
      </c>
      <c r="I80" s="31"/>
      <c r="J80" s="59">
        <f>VLOOKUP(Table4[[#This Row],[Invoice Number]],PR!$D$6:$M$110,9)</f>
        <v>930.375</v>
      </c>
      <c r="K80" s="59">
        <f>VLOOKUP(Table4[[#This Row],[Invoice Number]],PR!$D$6:$M$110,10)</f>
        <v>930.375</v>
      </c>
      <c r="L80" s="59">
        <f ca="1">PR!N81</f>
        <v>930.375</v>
      </c>
      <c r="M80" s="2">
        <v>30</v>
      </c>
      <c r="N80" s="2"/>
      <c r="O80" s="3"/>
    </row>
    <row r="81" spans="2:15" x14ac:dyDescent="0.3">
      <c r="B81" s="1">
        <f t="shared" si="2"/>
        <v>77</v>
      </c>
      <c r="C81" s="2" t="str">
        <f>IR!A78</f>
        <v>INV-2026-077</v>
      </c>
      <c r="D81" s="2" t="str">
        <f>VLOOKUP(Table4[[#This Row],[Invoice Number]],PR!$D$6:$I$110,2)</f>
        <v>Jonathan Anderson</v>
      </c>
      <c r="E81" s="27">
        <f>VLOOKUP(Table4[[#This Row],[Invoice Number]],PR!$D$6:$I$110,3)</f>
        <v>46295</v>
      </c>
      <c r="F81" s="23">
        <f>VLOOKUP(Table4[[#This Row],[Invoice Number]],PR!$D$6:$I$110,4)</f>
        <v>365</v>
      </c>
      <c r="G81" s="23" t="str">
        <f>VLOOKUP(Table4[[#This Row],[Invoice Number]],PR!$D$6:$I$110,5)</f>
        <v>Maintenance services</v>
      </c>
      <c r="H81" s="48" t="str">
        <f>VLOOKUP(Table4[[#This Row],[Invoice Number]],PR!$D$6:$I$110,6)</f>
        <v>PAY-7077</v>
      </c>
      <c r="I81" s="31"/>
      <c r="J81" s="59">
        <f>VLOOKUP(Table4[[#This Row],[Invoice Number]],PR!$D$6:$M$110,9)</f>
        <v>182.5</v>
      </c>
      <c r="K81" s="59">
        <f>VLOOKUP(Table4[[#This Row],[Invoice Number]],PR!$D$6:$M$110,10)</f>
        <v>182.5</v>
      </c>
      <c r="L81" s="59">
        <f ca="1">PR!N82</f>
        <v>182.5</v>
      </c>
      <c r="M81" s="2">
        <v>30</v>
      </c>
      <c r="N81" s="2"/>
      <c r="O81" s="3"/>
    </row>
    <row r="82" spans="2:15" x14ac:dyDescent="0.3">
      <c r="B82" s="1">
        <f t="shared" si="2"/>
        <v>78</v>
      </c>
      <c r="C82" s="2" t="str">
        <f>IR!A79</f>
        <v>INV-2026-078</v>
      </c>
      <c r="D82" s="2" t="str">
        <f>VLOOKUP(Table4[[#This Row],[Invoice Number]],PR!$D$6:$I$110,2)</f>
        <v>Amber Thomas</v>
      </c>
      <c r="E82" s="27">
        <f>VLOOKUP(Table4[[#This Row],[Invoice Number]],PR!$D$6:$I$110,3)</f>
        <v>46298</v>
      </c>
      <c r="F82" s="23">
        <f>VLOOKUP(Table4[[#This Row],[Invoice Number]],PR!$D$6:$I$110,4)</f>
        <v>1095.25</v>
      </c>
      <c r="G82" s="23" t="str">
        <f>VLOOKUP(Table4[[#This Row],[Invoice Number]],PR!$D$6:$I$110,5)</f>
        <v>Software licence</v>
      </c>
      <c r="H82" s="48" t="str">
        <f>VLOOKUP(Table4[[#This Row],[Invoice Number]],PR!$D$6:$I$110,6)</f>
        <v>PAY-7078</v>
      </c>
      <c r="I82" s="31"/>
      <c r="J82" s="59">
        <f>VLOOKUP(Table4[[#This Row],[Invoice Number]],PR!$D$6:$M$110,9)</f>
        <v>547.625</v>
      </c>
      <c r="K82" s="59">
        <f>VLOOKUP(Table4[[#This Row],[Invoice Number]],PR!$D$6:$M$110,10)</f>
        <v>547.625</v>
      </c>
      <c r="L82" s="59">
        <f ca="1">PR!N83</f>
        <v>547.625</v>
      </c>
      <c r="M82" s="2">
        <v>30</v>
      </c>
      <c r="N82" s="2"/>
      <c r="O82" s="3"/>
    </row>
    <row r="83" spans="2:15" x14ac:dyDescent="0.3">
      <c r="B83" s="1">
        <f t="shared" si="2"/>
        <v>79</v>
      </c>
      <c r="C83" s="2" t="str">
        <f>IR!A80</f>
        <v>INV-2026-079</v>
      </c>
      <c r="D83" s="2" t="str">
        <f>VLOOKUP(Table4[[#This Row],[Invoice Number]],PR!$D$6:$I$110,2)</f>
        <v>Robert Jackson</v>
      </c>
      <c r="E83" s="27">
        <f>VLOOKUP(Table4[[#This Row],[Invoice Number]],PR!$D$6:$I$110,3)</f>
        <v>46301</v>
      </c>
      <c r="F83" s="23">
        <f>VLOOKUP(Table4[[#This Row],[Invoice Number]],PR!$D$6:$I$110,4)</f>
        <v>2525</v>
      </c>
      <c r="G83" s="23" t="str">
        <f>VLOOKUP(Table4[[#This Row],[Invoice Number]],PR!$D$6:$I$110,5)</f>
        <v>Stationery order</v>
      </c>
      <c r="H83" s="48" t="str">
        <f>VLOOKUP(Table4[[#This Row],[Invoice Number]],PR!$D$6:$I$110,6)</f>
        <v>PAY-7079</v>
      </c>
      <c r="I83" s="31"/>
      <c r="J83" s="59">
        <f>VLOOKUP(Table4[[#This Row],[Invoice Number]],PR!$D$6:$M$110,9)</f>
        <v>1262.5</v>
      </c>
      <c r="K83" s="59">
        <f>VLOOKUP(Table4[[#This Row],[Invoice Number]],PR!$D$6:$M$110,10)</f>
        <v>1262.5</v>
      </c>
      <c r="L83" s="59">
        <f ca="1">PR!N84</f>
        <v>1262.5</v>
      </c>
      <c r="M83" s="2">
        <v>30</v>
      </c>
      <c r="N83" s="2"/>
      <c r="O83" s="3"/>
    </row>
    <row r="84" spans="2:15" x14ac:dyDescent="0.3">
      <c r="B84" s="1">
        <f t="shared" si="2"/>
        <v>80</v>
      </c>
      <c r="C84" s="2" t="str">
        <f>IR!A81</f>
        <v>INV-2026-080</v>
      </c>
      <c r="D84" s="2" t="str">
        <f>VLOOKUP(Table4[[#This Row],[Invoice Number]],PR!$D$6:$I$110,2)</f>
        <v>Beatrice White</v>
      </c>
      <c r="E84" s="27">
        <f>VLOOKUP(Table4[[#This Row],[Invoice Number]],PR!$D$6:$I$110,3)</f>
        <v>46304</v>
      </c>
      <c r="F84" s="23">
        <f>VLOOKUP(Table4[[#This Row],[Invoice Number]],PR!$D$6:$I$110,4)</f>
        <v>680.5</v>
      </c>
      <c r="G84" s="23" t="str">
        <f>VLOOKUP(Table4[[#This Row],[Invoice Number]],PR!$D$6:$I$110,5)</f>
        <v>Training services</v>
      </c>
      <c r="H84" s="48" t="str">
        <f>VLOOKUP(Table4[[#This Row],[Invoice Number]],PR!$D$6:$I$110,6)</f>
        <v>PAY-7080</v>
      </c>
      <c r="I84" s="31"/>
      <c r="J84" s="59">
        <f>VLOOKUP(Table4[[#This Row],[Invoice Number]],PR!$D$6:$M$110,9)</f>
        <v>340.25</v>
      </c>
      <c r="K84" s="59">
        <f>VLOOKUP(Table4[[#This Row],[Invoice Number]],PR!$D$6:$M$110,10)</f>
        <v>340.25</v>
      </c>
      <c r="L84" s="59">
        <f ca="1">PR!N85</f>
        <v>340.25</v>
      </c>
      <c r="M84" s="2">
        <v>30</v>
      </c>
      <c r="N84" s="2"/>
      <c r="O84" s="3"/>
    </row>
    <row r="85" spans="2:15" x14ac:dyDescent="0.3">
      <c r="B85" s="1">
        <f t="shared" si="2"/>
        <v>81</v>
      </c>
      <c r="C85" s="2" t="str">
        <f>IR!A82</f>
        <v>INV-2026-081</v>
      </c>
      <c r="D85" s="2" t="str">
        <f>VLOOKUP(Table4[[#This Row],[Invoice Number]],PR!$D$6:$I$110,2)</f>
        <v>Louis Harris</v>
      </c>
      <c r="E85" s="27">
        <f>VLOOKUP(Table4[[#This Row],[Invoice Number]],PR!$D$6:$I$110,3)</f>
        <v>46307</v>
      </c>
      <c r="F85" s="23">
        <f>VLOOKUP(Table4[[#This Row],[Invoice Number]],PR!$D$6:$I$110,4)</f>
        <v>1155</v>
      </c>
      <c r="G85" s="23" t="str">
        <f>VLOOKUP(Table4[[#This Row],[Invoice Number]],PR!$D$6:$I$110,5)</f>
        <v>Office supplies</v>
      </c>
      <c r="H85" s="48" t="str">
        <f>VLOOKUP(Table4[[#This Row],[Invoice Number]],PR!$D$6:$I$110,6)</f>
        <v>PAY-7081</v>
      </c>
      <c r="I85" s="31"/>
      <c r="J85" s="59">
        <f>VLOOKUP(Table4[[#This Row],[Invoice Number]],PR!$D$6:$M$110,9)</f>
        <v>577.5</v>
      </c>
      <c r="K85" s="59">
        <f>VLOOKUP(Table4[[#This Row],[Invoice Number]],PR!$D$6:$M$110,10)</f>
        <v>577.5</v>
      </c>
      <c r="L85" s="59">
        <f ca="1">PR!N86</f>
        <v>577.5</v>
      </c>
      <c r="M85" s="2">
        <v>30</v>
      </c>
      <c r="N85" s="2"/>
      <c r="O85" s="3"/>
    </row>
    <row r="86" spans="2:15" x14ac:dyDescent="0.3">
      <c r="B86" s="1">
        <f t="shared" si="2"/>
        <v>82</v>
      </c>
      <c r="C86" s="2" t="str">
        <f>IR!A83</f>
        <v>INV-2026-082</v>
      </c>
      <c r="D86" s="2" t="str">
        <f>VLOOKUP(Table4[[#This Row],[Invoice Number]],PR!$D$6:$I$110,2)</f>
        <v>Orla Martin</v>
      </c>
      <c r="E86" s="27">
        <f>VLOOKUP(Table4[[#This Row],[Invoice Number]],PR!$D$6:$I$110,3)</f>
        <v>46310</v>
      </c>
      <c r="F86" s="23">
        <f>VLOOKUP(Table4[[#This Row],[Invoice Number]],PR!$D$6:$I$110,4)</f>
        <v>425.75</v>
      </c>
      <c r="G86" s="23" t="str">
        <f>VLOOKUP(Table4[[#This Row],[Invoice Number]],PR!$D$6:$I$110,5)</f>
        <v>Consulting services</v>
      </c>
      <c r="H86" s="48" t="str">
        <f>VLOOKUP(Table4[[#This Row],[Invoice Number]],PR!$D$6:$I$110,6)</f>
        <v>PAY-7082</v>
      </c>
      <c r="I86" s="31"/>
      <c r="J86" s="59">
        <f>VLOOKUP(Table4[[#This Row],[Invoice Number]],PR!$D$6:$M$110,9)</f>
        <v>212.875</v>
      </c>
      <c r="K86" s="59">
        <f>VLOOKUP(Table4[[#This Row],[Invoice Number]],PR!$D$6:$M$110,10)</f>
        <v>212.875</v>
      </c>
      <c r="L86" s="59">
        <f ca="1">PR!N87</f>
        <v>212.875</v>
      </c>
      <c r="M86" s="2">
        <v>30</v>
      </c>
      <c r="N86" s="2"/>
      <c r="O86" s="3"/>
    </row>
    <row r="87" spans="2:15" x14ac:dyDescent="0.3">
      <c r="B87" s="1">
        <f t="shared" si="2"/>
        <v>83</v>
      </c>
      <c r="C87" s="2" t="str">
        <f>IR!A84</f>
        <v>INV-2026-083</v>
      </c>
      <c r="D87" s="2" t="str">
        <f>VLOOKUP(Table4[[#This Row],[Invoice Number]],PR!$D$6:$I$110,2)</f>
        <v>Edward Moore</v>
      </c>
      <c r="E87" s="27">
        <f>VLOOKUP(Table4[[#This Row],[Invoice Number]],PR!$D$6:$I$110,3)</f>
        <v>46311</v>
      </c>
      <c r="F87" s="23">
        <f>VLOOKUP(Table4[[#This Row],[Invoice Number]],PR!$D$6:$I$110,4)</f>
        <v>2690</v>
      </c>
      <c r="G87" s="23" t="str">
        <f>VLOOKUP(Table4[[#This Row],[Invoice Number]],PR!$D$6:$I$110,5)</f>
        <v>Equipment purchase</v>
      </c>
      <c r="H87" s="48" t="str">
        <f>VLOOKUP(Table4[[#This Row],[Invoice Number]],PR!$D$6:$I$110,6)</f>
        <v>PAY-7083</v>
      </c>
      <c r="I87" s="31"/>
      <c r="J87" s="59">
        <f>VLOOKUP(Table4[[#This Row],[Invoice Number]],PR!$D$6:$M$110,9)</f>
        <v>1345</v>
      </c>
      <c r="K87" s="59">
        <f>VLOOKUP(Table4[[#This Row],[Invoice Number]],PR!$D$6:$M$110,10)</f>
        <v>1345</v>
      </c>
      <c r="L87" s="59">
        <f ca="1">PR!N88</f>
        <v>1345</v>
      </c>
      <c r="M87" s="2">
        <v>30</v>
      </c>
      <c r="N87" s="2"/>
      <c r="O87" s="3"/>
    </row>
    <row r="88" spans="2:15" x14ac:dyDescent="0.3">
      <c r="B88" s="1">
        <f t="shared" si="2"/>
        <v>84</v>
      </c>
      <c r="C88" s="2" t="str">
        <f>IR!A85</f>
        <v>INV-2026-084</v>
      </c>
      <c r="D88" s="2" t="str">
        <f>VLOOKUP(Table4[[#This Row],[Invoice Number]],PR!$D$6:$I$110,2)</f>
        <v>Nancy Taylor</v>
      </c>
      <c r="E88" s="27">
        <f>VLOOKUP(Table4[[#This Row],[Invoice Number]],PR!$D$6:$I$110,3)</f>
        <v>46257</v>
      </c>
      <c r="F88" s="23">
        <f>VLOOKUP(Table4[[#This Row],[Invoice Number]],PR!$D$6:$I$110,4)</f>
        <v>775.5</v>
      </c>
      <c r="G88" s="23" t="str">
        <f>VLOOKUP(Table4[[#This Row],[Invoice Number]],PR!$D$6:$I$110,5)</f>
        <v>Monthly subscription</v>
      </c>
      <c r="H88" s="48" t="str">
        <f>VLOOKUP(Table4[[#This Row],[Invoice Number]],PR!$D$6:$I$110,6)</f>
        <v>PAY-7084</v>
      </c>
      <c r="I88" s="31"/>
      <c r="J88" s="59">
        <f>VLOOKUP(Table4[[#This Row],[Invoice Number]],PR!$D$6:$M$110,9)</f>
        <v>387.75</v>
      </c>
      <c r="K88" s="59">
        <f>VLOOKUP(Table4[[#This Row],[Invoice Number]],PR!$D$6:$M$110,10)</f>
        <v>387.75</v>
      </c>
      <c r="L88" s="59">
        <f ca="1">PR!N89</f>
        <v>442.03500000000003</v>
      </c>
      <c r="M88" s="2">
        <v>30</v>
      </c>
      <c r="N88" s="2"/>
      <c r="O88" s="3"/>
    </row>
    <row r="89" spans="2:15" x14ac:dyDescent="0.3">
      <c r="B89" s="1">
        <f t="shared" si="2"/>
        <v>85</v>
      </c>
      <c r="C89" s="2" t="str">
        <f>IR!A86</f>
        <v>INV-2026-085</v>
      </c>
      <c r="D89" s="2" t="str">
        <f>VLOOKUP(Table4[[#This Row],[Invoice Number]],PR!$D$6:$I$110,2)</f>
        <v>Gabriel Anderson</v>
      </c>
      <c r="E89" s="27">
        <f>VLOOKUP(Table4[[#This Row],[Invoice Number]],PR!$D$6:$I$110,3)</f>
        <v>46261</v>
      </c>
      <c r="F89" s="23">
        <f>VLOOKUP(Table4[[#This Row],[Invoice Number]],PR!$D$6:$I$110,4)</f>
        <v>1495</v>
      </c>
      <c r="G89" s="23" t="str">
        <f>VLOOKUP(Table4[[#This Row],[Invoice Number]],PR!$D$6:$I$110,5)</f>
        <v>Project delivery</v>
      </c>
      <c r="H89" s="48" t="str">
        <f>VLOOKUP(Table4[[#This Row],[Invoice Number]],PR!$D$6:$I$110,6)</f>
        <v>PAY-7085</v>
      </c>
      <c r="I89" s="31"/>
      <c r="J89" s="59">
        <f>VLOOKUP(Table4[[#This Row],[Invoice Number]],PR!$D$6:$M$110,9)</f>
        <v>747.5</v>
      </c>
      <c r="K89" s="59">
        <f>VLOOKUP(Table4[[#This Row],[Invoice Number]],PR!$D$6:$M$110,10)</f>
        <v>747.5</v>
      </c>
      <c r="L89" s="59">
        <f ca="1">PR!N90</f>
        <v>829.72500000000002</v>
      </c>
      <c r="M89" s="2">
        <v>30</v>
      </c>
      <c r="N89" s="2"/>
      <c r="O89" s="3"/>
    </row>
    <row r="90" spans="2:15" x14ac:dyDescent="0.3">
      <c r="B90" s="1">
        <f t="shared" si="2"/>
        <v>86</v>
      </c>
      <c r="C90" s="2" t="str">
        <f>IR!A87</f>
        <v>INV-2026-086</v>
      </c>
      <c r="D90" s="2" t="str">
        <f>VLOOKUP(Table4[[#This Row],[Invoice Number]],PR!$D$6:$I$110,2)</f>
        <v>Martha Thomas</v>
      </c>
      <c r="E90" s="27">
        <f>VLOOKUP(Table4[[#This Row],[Invoice Number]],PR!$D$6:$I$110,3)</f>
        <v>46266</v>
      </c>
      <c r="F90" s="23">
        <f>VLOOKUP(Table4[[#This Row],[Invoice Number]],PR!$D$6:$I$110,4)</f>
        <v>585.25</v>
      </c>
      <c r="G90" s="23" t="str">
        <f>VLOOKUP(Table4[[#This Row],[Invoice Number]],PR!$D$6:$I$110,5)</f>
        <v>Marketing services</v>
      </c>
      <c r="H90" s="48" t="str">
        <f>VLOOKUP(Table4[[#This Row],[Invoice Number]],PR!$D$6:$I$110,6)</f>
        <v>PAY-7086</v>
      </c>
      <c r="I90" s="31"/>
      <c r="J90" s="59">
        <f>VLOOKUP(Table4[[#This Row],[Invoice Number]],PR!$D$6:$M$110,9)</f>
        <v>292.625</v>
      </c>
      <c r="K90" s="59">
        <f>VLOOKUP(Table4[[#This Row],[Invoice Number]],PR!$D$6:$M$110,10)</f>
        <v>292.625</v>
      </c>
      <c r="L90" s="59">
        <f ca="1">PR!N91</f>
        <v>316.03500000000003</v>
      </c>
      <c r="M90" s="2">
        <v>30</v>
      </c>
      <c r="N90" s="2"/>
      <c r="O90" s="3"/>
    </row>
    <row r="91" spans="2:15" x14ac:dyDescent="0.3">
      <c r="B91" s="1">
        <f t="shared" si="2"/>
        <v>87</v>
      </c>
      <c r="C91" s="2" t="str">
        <f>IR!A88</f>
        <v>INV-2026-087</v>
      </c>
      <c r="D91" s="2" t="str">
        <f>VLOOKUP(Table4[[#This Row],[Invoice Number]],PR!$D$6:$I$110,2)</f>
        <v>Patrick Jackson</v>
      </c>
      <c r="E91" s="27">
        <f>VLOOKUP(Table4[[#This Row],[Invoice Number]],PR!$D$6:$I$110,3)</f>
        <v>46270</v>
      </c>
      <c r="F91" s="23">
        <f>VLOOKUP(Table4[[#This Row],[Invoice Number]],PR!$D$6:$I$110,4)</f>
        <v>965</v>
      </c>
      <c r="G91" s="23" t="str">
        <f>VLOOKUP(Table4[[#This Row],[Invoice Number]],PR!$D$6:$I$110,5)</f>
        <v>Maintenance services</v>
      </c>
      <c r="H91" s="48" t="str">
        <f>VLOOKUP(Table4[[#This Row],[Invoice Number]],PR!$D$6:$I$110,6)</f>
        <v>PAY-7087</v>
      </c>
      <c r="I91" s="31"/>
      <c r="J91" s="59">
        <f>VLOOKUP(Table4[[#This Row],[Invoice Number]],PR!$D$6:$M$110,9)</f>
        <v>482.5</v>
      </c>
      <c r="K91" s="59">
        <f>VLOOKUP(Table4[[#This Row],[Invoice Number]],PR!$D$6:$M$110,10)</f>
        <v>482.5</v>
      </c>
      <c r="L91" s="59">
        <f ca="1">PR!N92</f>
        <v>521.1</v>
      </c>
      <c r="M91" s="2">
        <v>30</v>
      </c>
      <c r="N91" s="2"/>
      <c r="O91" s="3"/>
    </row>
    <row r="92" spans="2:15" x14ac:dyDescent="0.3">
      <c r="B92" s="1">
        <f t="shared" si="2"/>
        <v>88</v>
      </c>
      <c r="C92" s="2" t="str">
        <f>IR!A89</f>
        <v>INV-2026-088</v>
      </c>
      <c r="D92" s="2" t="str">
        <f>VLOOKUP(Table4[[#This Row],[Invoice Number]],PR!$D$6:$I$110,2)</f>
        <v>Rose White</v>
      </c>
      <c r="E92" s="27">
        <f>VLOOKUP(Table4[[#This Row],[Invoice Number]],PR!$D$6:$I$110,3)</f>
        <v>46274</v>
      </c>
      <c r="F92" s="23">
        <f>VLOOKUP(Table4[[#This Row],[Invoice Number]],PR!$D$6:$I$110,4)</f>
        <v>1820.5</v>
      </c>
      <c r="G92" s="23" t="str">
        <f>VLOOKUP(Table4[[#This Row],[Invoice Number]],PR!$D$6:$I$110,5)</f>
        <v>Software licence</v>
      </c>
      <c r="H92" s="48" t="str">
        <f>VLOOKUP(Table4[[#This Row],[Invoice Number]],PR!$D$6:$I$110,6)</f>
        <v>PAY-7088</v>
      </c>
      <c r="I92" s="31"/>
      <c r="J92" s="59">
        <f>VLOOKUP(Table4[[#This Row],[Invoice Number]],PR!$D$6:$M$110,9)</f>
        <v>910.25</v>
      </c>
      <c r="K92" s="59">
        <f>VLOOKUP(Table4[[#This Row],[Invoice Number]],PR!$D$6:$M$110,10)</f>
        <v>910.25</v>
      </c>
      <c r="L92" s="59">
        <f ca="1">PR!N93</f>
        <v>955.76250000000005</v>
      </c>
      <c r="M92" s="2">
        <v>30</v>
      </c>
      <c r="N92" s="2"/>
      <c r="O92" s="3"/>
    </row>
    <row r="93" spans="2:15" x14ac:dyDescent="0.3">
      <c r="B93" s="1">
        <f t="shared" si="2"/>
        <v>89</v>
      </c>
      <c r="C93" s="2" t="str">
        <f>IR!A90</f>
        <v>INV-2026-089</v>
      </c>
      <c r="D93" s="2" t="str">
        <f>VLOOKUP(Table4[[#This Row],[Invoice Number]],PR!$D$6:$I$110,2)</f>
        <v>Andrew Harris</v>
      </c>
      <c r="E93" s="27">
        <f>VLOOKUP(Table4[[#This Row],[Invoice Number]],PR!$D$6:$I$110,3)</f>
        <v>46278</v>
      </c>
      <c r="F93" s="23">
        <f>VLOOKUP(Table4[[#This Row],[Invoice Number]],PR!$D$6:$I$110,4)</f>
        <v>310</v>
      </c>
      <c r="G93" s="23" t="str">
        <f>VLOOKUP(Table4[[#This Row],[Invoice Number]],PR!$D$6:$I$110,5)</f>
        <v>Stationery order</v>
      </c>
      <c r="H93" s="48" t="str">
        <f>VLOOKUP(Table4[[#This Row],[Invoice Number]],PR!$D$6:$I$110,6)</f>
        <v>PAY-7089</v>
      </c>
      <c r="I93" s="31"/>
      <c r="J93" s="59">
        <f>VLOOKUP(Table4[[#This Row],[Invoice Number]],PR!$D$6:$M$110,9)</f>
        <v>155</v>
      </c>
      <c r="K93" s="59">
        <f>VLOOKUP(Table4[[#This Row],[Invoice Number]],PR!$D$6:$M$110,10)</f>
        <v>155</v>
      </c>
      <c r="L93" s="59">
        <f ca="1">PR!N94</f>
        <v>158.1</v>
      </c>
      <c r="M93" s="2">
        <v>30</v>
      </c>
      <c r="N93" s="2"/>
      <c r="O93" s="3"/>
    </row>
    <row r="94" spans="2:15" x14ac:dyDescent="0.3">
      <c r="B94" s="1">
        <f t="shared" si="2"/>
        <v>90</v>
      </c>
      <c r="C94" s="2" t="str">
        <f>IR!A91</f>
        <v>INV-2026-090</v>
      </c>
      <c r="D94" s="2" t="str">
        <f>VLOOKUP(Table4[[#This Row],[Invoice Number]],PR!$D$6:$I$110,2)</f>
        <v>Edith Martin</v>
      </c>
      <c r="E94" s="27">
        <f>VLOOKUP(Table4[[#This Row],[Invoice Number]],PR!$D$6:$I$110,3)</f>
        <v>46282</v>
      </c>
      <c r="F94" s="23">
        <f>VLOOKUP(Table4[[#This Row],[Invoice Number]],PR!$D$6:$I$110,4)</f>
        <v>1265.75</v>
      </c>
      <c r="G94" s="23" t="str">
        <f>VLOOKUP(Table4[[#This Row],[Invoice Number]],PR!$D$6:$I$110,5)</f>
        <v>Training services</v>
      </c>
      <c r="H94" s="48" t="str">
        <f>VLOOKUP(Table4[[#This Row],[Invoice Number]],PR!$D$6:$I$110,6)</f>
        <v>PAY-7090</v>
      </c>
      <c r="I94" s="31"/>
      <c r="J94" s="59">
        <f>VLOOKUP(Table4[[#This Row],[Invoice Number]],PR!$D$6:$M$110,9)</f>
        <v>632.875</v>
      </c>
      <c r="K94" s="59">
        <f>VLOOKUP(Table4[[#This Row],[Invoice Number]],PR!$D$6:$M$110,10)</f>
        <v>632.875</v>
      </c>
      <c r="L94" s="59">
        <f ca="1">PR!N95</f>
        <v>639.20375000000001</v>
      </c>
      <c r="M94" s="2">
        <v>30</v>
      </c>
      <c r="N94" s="2"/>
      <c r="O94" s="3"/>
    </row>
    <row r="95" spans="2:15" x14ac:dyDescent="0.3">
      <c r="B95" s="1">
        <f t="shared" si="2"/>
        <v>91</v>
      </c>
      <c r="C95" s="2" t="str">
        <f>IR!A92</f>
        <v>INV-2026-091</v>
      </c>
      <c r="D95" s="2" t="str">
        <f>VLOOKUP(Table4[[#This Row],[Invoice Number]],PR!$D$6:$I$110,2)</f>
        <v>Matthew Moore</v>
      </c>
      <c r="E95" s="27">
        <f>VLOOKUP(Table4[[#This Row],[Invoice Number]],PR!$D$6:$I$110,3)</f>
        <v>46286</v>
      </c>
      <c r="F95" s="23">
        <f>VLOOKUP(Table4[[#This Row],[Invoice Number]],PR!$D$6:$I$110,4)</f>
        <v>695</v>
      </c>
      <c r="G95" s="23" t="str">
        <f>VLOOKUP(Table4[[#This Row],[Invoice Number]],PR!$D$6:$I$110,5)</f>
        <v>Office supplies</v>
      </c>
      <c r="H95" s="48" t="str">
        <f>VLOOKUP(Table4[[#This Row],[Invoice Number]],PR!$D$6:$I$110,6)</f>
        <v>PAY-7091</v>
      </c>
      <c r="I95" s="31"/>
      <c r="J95" s="59">
        <f>VLOOKUP(Table4[[#This Row],[Invoice Number]],PR!$D$6:$M$110,9)</f>
        <v>347.5</v>
      </c>
      <c r="K95" s="59">
        <f>VLOOKUP(Table4[[#This Row],[Invoice Number]],PR!$D$6:$M$110,10)</f>
        <v>347.5</v>
      </c>
      <c r="L95" s="59">
        <f ca="1">PR!N96</f>
        <v>347.5</v>
      </c>
      <c r="M95" s="2">
        <v>30</v>
      </c>
      <c r="N95" s="2"/>
      <c r="O95" s="3"/>
    </row>
    <row r="96" spans="2:15" x14ac:dyDescent="0.3">
      <c r="B96" s="1">
        <f t="shared" si="2"/>
        <v>92</v>
      </c>
      <c r="C96" s="2" t="str">
        <f>IR!A93</f>
        <v>INV-2026-092</v>
      </c>
      <c r="D96" s="2" t="str">
        <f>VLOOKUP(Table4[[#This Row],[Invoice Number]],PR!$D$6:$I$110,2)</f>
        <v>Sarah Taylor</v>
      </c>
      <c r="E96" s="27">
        <f>VLOOKUP(Table4[[#This Row],[Invoice Number]],PR!$D$6:$I$110,3)</f>
        <v>46290</v>
      </c>
      <c r="F96" s="23">
        <f>VLOOKUP(Table4[[#This Row],[Invoice Number]],PR!$D$6:$I$110,4)</f>
        <v>2190.25</v>
      </c>
      <c r="G96" s="23" t="str">
        <f>VLOOKUP(Table4[[#This Row],[Invoice Number]],PR!$D$6:$I$110,5)</f>
        <v>Consulting services</v>
      </c>
      <c r="H96" s="48" t="str">
        <f>VLOOKUP(Table4[[#This Row],[Invoice Number]],PR!$D$6:$I$110,6)</f>
        <v>PAY-7092</v>
      </c>
      <c r="I96" s="31"/>
      <c r="J96" s="59">
        <f>VLOOKUP(Table4[[#This Row],[Invoice Number]],PR!$D$6:$M$110,9)</f>
        <v>1095.125</v>
      </c>
      <c r="K96" s="59">
        <f>VLOOKUP(Table4[[#This Row],[Invoice Number]],PR!$D$6:$M$110,10)</f>
        <v>1095.125</v>
      </c>
      <c r="L96" s="59">
        <f ca="1">PR!N97</f>
        <v>1095.125</v>
      </c>
      <c r="M96" s="2">
        <v>30</v>
      </c>
      <c r="N96" s="2"/>
      <c r="O96" s="3"/>
    </row>
    <row r="97" spans="2:15" x14ac:dyDescent="0.3">
      <c r="B97" s="1">
        <f t="shared" si="2"/>
        <v>93</v>
      </c>
      <c r="C97" s="2" t="str">
        <f>IR!A94</f>
        <v>INV-2026-093</v>
      </c>
      <c r="D97" s="2" t="str">
        <f>VLOOKUP(Table4[[#This Row],[Invoice Number]],PR!$D$6:$I$110,2)</f>
        <v>Anthony Anderson</v>
      </c>
      <c r="E97" s="27">
        <f>VLOOKUP(Table4[[#This Row],[Invoice Number]],PR!$D$6:$I$110,3)</f>
        <v>46294</v>
      </c>
      <c r="F97" s="23">
        <f>VLOOKUP(Table4[[#This Row],[Invoice Number]],PR!$D$6:$I$110,4)</f>
        <v>830</v>
      </c>
      <c r="G97" s="23" t="str">
        <f>VLOOKUP(Table4[[#This Row],[Invoice Number]],PR!$D$6:$I$110,5)</f>
        <v>Equipment purchase</v>
      </c>
      <c r="H97" s="48" t="str">
        <f>VLOOKUP(Table4[[#This Row],[Invoice Number]],PR!$D$6:$I$110,6)</f>
        <v>PAY-7093</v>
      </c>
      <c r="I97" s="31"/>
      <c r="J97" s="59">
        <f>VLOOKUP(Table4[[#This Row],[Invoice Number]],PR!$D$6:$M$110,9)</f>
        <v>830</v>
      </c>
      <c r="K97" s="59" t="str">
        <f>VLOOKUP(Table4[[#This Row],[Invoice Number]],PR!$D$6:$M$110,10)</f>
        <v>Paid All</v>
      </c>
      <c r="L97" s="59">
        <f ca="1">PR!N98</f>
        <v>830</v>
      </c>
      <c r="M97" s="2">
        <v>30</v>
      </c>
      <c r="N97" s="2"/>
      <c r="O97" s="3"/>
    </row>
    <row r="98" spans="2:15" x14ac:dyDescent="0.3">
      <c r="B98" s="1">
        <f t="shared" si="2"/>
        <v>94</v>
      </c>
      <c r="C98" s="2" t="str">
        <f>IR!A95</f>
        <v>INV-2026-094</v>
      </c>
      <c r="D98" s="2" t="str">
        <f>VLOOKUP(Table4[[#This Row],[Invoice Number]],PR!$D$6:$I$110,2)</f>
        <v>Jane Thomas</v>
      </c>
      <c r="E98" s="27">
        <f>VLOOKUP(Table4[[#This Row],[Invoice Number]],PR!$D$6:$I$110,3)</f>
        <v>46299</v>
      </c>
      <c r="F98" s="23">
        <f>VLOOKUP(Table4[[#This Row],[Invoice Number]],PR!$D$6:$I$110,4)</f>
        <v>455.5</v>
      </c>
      <c r="G98" s="23" t="str">
        <f>VLOOKUP(Table4[[#This Row],[Invoice Number]],PR!$D$6:$I$110,5)</f>
        <v>Monthly subscription</v>
      </c>
      <c r="H98" s="48" t="str">
        <f>VLOOKUP(Table4[[#This Row],[Invoice Number]],PR!$D$6:$I$110,6)</f>
        <v>PAY-7094</v>
      </c>
      <c r="I98" s="31"/>
      <c r="J98" s="59">
        <f>VLOOKUP(Table4[[#This Row],[Invoice Number]],PR!$D$6:$M$110,9)</f>
        <v>227.75</v>
      </c>
      <c r="K98" s="59">
        <f>VLOOKUP(Table4[[#This Row],[Invoice Number]],PR!$D$6:$M$110,10)</f>
        <v>227.75</v>
      </c>
      <c r="L98" s="59">
        <f ca="1">PR!N99</f>
        <v>227.75</v>
      </c>
      <c r="M98" s="2">
        <v>30</v>
      </c>
      <c r="N98" s="2"/>
      <c r="O98" s="3"/>
    </row>
    <row r="99" spans="2:15" x14ac:dyDescent="0.3">
      <c r="B99" s="1">
        <f t="shared" si="2"/>
        <v>95</v>
      </c>
      <c r="C99" s="2" t="str">
        <f>IR!A96</f>
        <v>INV-2026-095</v>
      </c>
      <c r="D99" s="2" t="str">
        <f>VLOOKUP(Table4[[#This Row],[Invoice Number]],PR!$D$6:$I$110,2)</f>
        <v>Peter Jackson</v>
      </c>
      <c r="E99" s="27">
        <f>VLOOKUP(Table4[[#This Row],[Invoice Number]],PR!$D$6:$I$110,3)</f>
        <v>46302</v>
      </c>
      <c r="F99" s="23">
        <f>VLOOKUP(Table4[[#This Row],[Invoice Number]],PR!$D$6:$I$110,4)</f>
        <v>2575</v>
      </c>
      <c r="G99" s="23" t="str">
        <f>VLOOKUP(Table4[[#This Row],[Invoice Number]],PR!$D$6:$I$110,5)</f>
        <v>Project delivery</v>
      </c>
      <c r="H99" s="48" t="str">
        <f>VLOOKUP(Table4[[#This Row],[Invoice Number]],PR!$D$6:$I$110,6)</f>
        <v>PAY-7095</v>
      </c>
      <c r="I99" s="31"/>
      <c r="J99" s="59">
        <f>VLOOKUP(Table4[[#This Row],[Invoice Number]],PR!$D$6:$M$110,9)</f>
        <v>1287.5</v>
      </c>
      <c r="K99" s="59">
        <f>VLOOKUP(Table4[[#This Row],[Invoice Number]],PR!$D$6:$M$110,10)</f>
        <v>1287.5</v>
      </c>
      <c r="L99" s="59">
        <f ca="1">PR!N100</f>
        <v>1287.5</v>
      </c>
      <c r="M99" s="2">
        <v>30</v>
      </c>
      <c r="N99" s="2"/>
      <c r="O99" s="3"/>
    </row>
    <row r="100" spans="2:15" x14ac:dyDescent="0.3">
      <c r="B100" s="1">
        <f t="shared" si="2"/>
        <v>96</v>
      </c>
      <c r="C100" s="2" t="str">
        <f>IR!A97</f>
        <v>INV-2026-096</v>
      </c>
      <c r="D100" s="2" t="str">
        <f>VLOOKUP(Table4[[#This Row],[Invoice Number]],PR!$D$6:$I$110,2)</f>
        <v>Lucy White</v>
      </c>
      <c r="E100" s="27">
        <f>VLOOKUP(Table4[[#This Row],[Invoice Number]],PR!$D$6:$I$110,3)</f>
        <v>46267</v>
      </c>
      <c r="F100" s="23">
        <f>VLOOKUP(Table4[[#This Row],[Invoice Number]],PR!$D$6:$I$110,4)</f>
        <v>725.25</v>
      </c>
      <c r="G100" s="23" t="str">
        <f>VLOOKUP(Table4[[#This Row],[Invoice Number]],PR!$D$6:$I$110,5)</f>
        <v>Marketing services</v>
      </c>
      <c r="H100" s="48" t="str">
        <f>VLOOKUP(Table4[[#This Row],[Invoice Number]],PR!$D$6:$I$110,6)</f>
        <v>PAY-7096</v>
      </c>
      <c r="I100" s="31"/>
      <c r="J100" s="59">
        <f>VLOOKUP(Table4[[#This Row],[Invoice Number]],PR!$D$6:$M$110,9)</f>
        <v>362.625</v>
      </c>
      <c r="K100" s="59">
        <f>VLOOKUP(Table4[[#This Row],[Invoice Number]],PR!$D$6:$M$110,10)</f>
        <v>362.625</v>
      </c>
      <c r="L100" s="59">
        <f ca="1">PR!N101</f>
        <v>391.63499999999999</v>
      </c>
      <c r="M100" s="2">
        <v>30</v>
      </c>
      <c r="N100" s="2"/>
      <c r="O100" s="3"/>
    </row>
    <row r="101" spans="2:15" x14ac:dyDescent="0.3">
      <c r="B101" s="1">
        <f t="shared" si="2"/>
        <v>97</v>
      </c>
      <c r="C101" s="2" t="str">
        <f>IR!A98</f>
        <v>INV-2026-097</v>
      </c>
      <c r="D101" s="2" t="str">
        <f>VLOOKUP(Table4[[#This Row],[Invoice Number]],PR!$D$6:$I$110,2)</f>
        <v>Stephen Harris</v>
      </c>
      <c r="E101" s="27">
        <f>VLOOKUP(Table4[[#This Row],[Invoice Number]],PR!$D$6:$I$110,3)</f>
        <v>46302</v>
      </c>
      <c r="F101" s="23">
        <f>VLOOKUP(Table4[[#This Row],[Invoice Number]],PR!$D$6:$I$110,4)</f>
        <v>1035</v>
      </c>
      <c r="G101" s="23" t="str">
        <f>VLOOKUP(Table4[[#This Row],[Invoice Number]],PR!$D$6:$I$110,5)</f>
        <v>Maintenance services</v>
      </c>
      <c r="H101" s="48" t="str">
        <f>VLOOKUP(Table4[[#This Row],[Invoice Number]],PR!$D$6:$I$110,6)</f>
        <v>PAY-7097</v>
      </c>
      <c r="I101" s="31"/>
      <c r="J101" s="59">
        <f>VLOOKUP(Table4[[#This Row],[Invoice Number]],PR!$D$6:$M$110,9)</f>
        <v>517.5</v>
      </c>
      <c r="K101" s="59">
        <f>VLOOKUP(Table4[[#This Row],[Invoice Number]],PR!$D$6:$M$110,10)</f>
        <v>517.5</v>
      </c>
      <c r="L101" s="59">
        <f ca="1">PR!N102</f>
        <v>517.5</v>
      </c>
      <c r="M101" s="2">
        <v>30</v>
      </c>
      <c r="N101" s="2"/>
      <c r="O101" s="3"/>
    </row>
    <row r="102" spans="2:15" x14ac:dyDescent="0.3">
      <c r="B102" s="1">
        <f t="shared" si="2"/>
        <v>98</v>
      </c>
      <c r="C102" s="2" t="str">
        <f>IR!A99</f>
        <v>INV-2026-098</v>
      </c>
      <c r="D102" s="2" t="str">
        <f>VLOOKUP(Table4[[#This Row],[Invoice Number]],PR!$D$6:$I$110,2)</f>
        <v>Anna Martin</v>
      </c>
      <c r="E102" s="27">
        <f>VLOOKUP(Table4[[#This Row],[Invoice Number]],PR!$D$6:$I$110,3)</f>
        <v>46224</v>
      </c>
      <c r="F102" s="23">
        <f>VLOOKUP(Table4[[#This Row],[Invoice Number]],PR!$D$6:$I$110,4)</f>
        <v>1695.5</v>
      </c>
      <c r="G102" s="23" t="str">
        <f>VLOOKUP(Table4[[#This Row],[Invoice Number]],PR!$D$6:$I$110,5)</f>
        <v>Software licence</v>
      </c>
      <c r="H102" s="48" t="str">
        <f>VLOOKUP(Table4[[#This Row],[Invoice Number]],PR!$D$6:$I$110,6)</f>
        <v>PAY-7098</v>
      </c>
      <c r="I102" s="31"/>
      <c r="J102" s="59">
        <f>VLOOKUP(Table4[[#This Row],[Invoice Number]],PR!$D$6:$M$110,9)</f>
        <v>847.75</v>
      </c>
      <c r="K102" s="59">
        <f>VLOOKUP(Table4[[#This Row],[Invoice Number]],PR!$D$6:$M$110,10)</f>
        <v>847.75</v>
      </c>
      <c r="L102" s="59">
        <f ca="1">PR!N103</f>
        <v>1144.4625000000001</v>
      </c>
      <c r="M102" s="2">
        <v>30</v>
      </c>
      <c r="N102" s="2"/>
      <c r="O102" s="3"/>
    </row>
    <row r="103" spans="2:15" x14ac:dyDescent="0.3">
      <c r="B103" s="1">
        <f t="shared" si="2"/>
        <v>99</v>
      </c>
      <c r="C103" s="2" t="str">
        <f>IR!A100</f>
        <v>INV-2026-099</v>
      </c>
      <c r="D103" s="2" t="str">
        <f>VLOOKUP(Table4[[#This Row],[Invoice Number]],PR!$D$6:$I$110,2)</f>
        <v>Timothy Moore</v>
      </c>
      <c r="E103" s="27">
        <f>VLOOKUP(Table4[[#This Row],[Invoice Number]],PR!$D$6:$I$110,3)</f>
        <v>46325</v>
      </c>
      <c r="F103" s="23">
        <f>VLOOKUP(Table4[[#This Row],[Invoice Number]],PR!$D$6:$I$110,4)</f>
        <v>335.75</v>
      </c>
      <c r="G103" s="23" t="str">
        <f>VLOOKUP(Table4[[#This Row],[Invoice Number]],PR!$D$6:$I$110,5)</f>
        <v>Stationery order</v>
      </c>
      <c r="H103" s="48" t="str">
        <f>VLOOKUP(Table4[[#This Row],[Invoice Number]],PR!$D$6:$I$110,6)</f>
        <v>PAY-7099</v>
      </c>
      <c r="I103" s="31"/>
      <c r="J103" s="59">
        <f>VLOOKUP(Table4[[#This Row],[Invoice Number]],PR!$D$6:$M$110,9)</f>
        <v>167.875</v>
      </c>
      <c r="K103" s="59">
        <f>VLOOKUP(Table4[[#This Row],[Invoice Number]],PR!$D$6:$M$110,10)</f>
        <v>167.875</v>
      </c>
      <c r="L103" s="59">
        <f ca="1">PR!N104</f>
        <v>167.875</v>
      </c>
      <c r="M103" s="2">
        <v>30</v>
      </c>
      <c r="N103" s="2"/>
      <c r="O103" s="3"/>
    </row>
    <row r="104" spans="2:15" x14ac:dyDescent="0.3">
      <c r="B104" s="1">
        <f t="shared" si="2"/>
        <v>100</v>
      </c>
      <c r="C104" s="2" t="str">
        <f>IR!A101</f>
        <v>INV-2026-100</v>
      </c>
      <c r="D104" s="2" t="str">
        <f>VLOOKUP(Table4[[#This Row],[Invoice Number]],PR!$D$6:$I$110,2)</f>
        <v>Victoria Taylor</v>
      </c>
      <c r="E104" s="27">
        <f>VLOOKUP(Table4[[#This Row],[Invoice Number]],PR!$D$6:$I$110,3)</f>
        <v>46253</v>
      </c>
      <c r="F104" s="23">
        <f>VLOOKUP(Table4[[#This Row],[Invoice Number]],PR!$D$6:$I$110,4)</f>
        <v>1285</v>
      </c>
      <c r="G104" s="23" t="str">
        <f>VLOOKUP(Table4[[#This Row],[Invoice Number]],PR!$D$6:$I$110,5)</f>
        <v>Training services</v>
      </c>
      <c r="H104" s="48" t="str">
        <f>VLOOKUP(Table4[[#This Row],[Invoice Number]],PR!$D$6:$I$110,6)</f>
        <v>PAY-7100</v>
      </c>
      <c r="I104" s="31"/>
      <c r="J104" s="59">
        <f>VLOOKUP(Table4[[#This Row],[Invoice Number]],PR!$D$6:$M$110,9)</f>
        <v>642.5</v>
      </c>
      <c r="K104" s="59">
        <f>VLOOKUP(Table4[[#This Row],[Invoice Number]],PR!$D$6:$M$110,10)</f>
        <v>642.5</v>
      </c>
      <c r="L104" s="59">
        <f ca="1">PR!N105</f>
        <v>751.72500000000002</v>
      </c>
      <c r="M104" s="2">
        <v>30</v>
      </c>
      <c r="N104" s="2"/>
      <c r="O104" s="3"/>
    </row>
    <row r="105" spans="2:15" x14ac:dyDescent="0.3">
      <c r="B105" s="1"/>
      <c r="C105" s="2"/>
      <c r="D105" s="2"/>
      <c r="E105" s="27"/>
      <c r="F105" s="23"/>
      <c r="G105" s="23"/>
      <c r="H105" s="48"/>
      <c r="I105" s="31"/>
      <c r="J105" s="59"/>
      <c r="K105" s="59"/>
      <c r="L105" s="59"/>
      <c r="M105" s="2"/>
      <c r="N105" s="2"/>
      <c r="O105" s="3"/>
    </row>
    <row r="106" spans="2:15" x14ac:dyDescent="0.3">
      <c r="B106" s="1"/>
      <c r="C106" s="2"/>
      <c r="D106" s="2"/>
      <c r="E106" s="27"/>
      <c r="F106" s="23"/>
      <c r="G106" s="23"/>
      <c r="H106" s="48"/>
      <c r="I106" s="31"/>
      <c r="J106" s="59"/>
      <c r="K106" s="59"/>
      <c r="L106" s="59"/>
      <c r="M106" s="2"/>
      <c r="N106" s="2"/>
      <c r="O106" s="3"/>
    </row>
    <row r="107" spans="2:15" ht="15" thickBot="1" x14ac:dyDescent="0.35">
      <c r="B107" s="4"/>
      <c r="D107" s="48"/>
      <c r="E107" s="27"/>
      <c r="F107" s="23"/>
      <c r="G107" s="30"/>
      <c r="H107" s="48"/>
      <c r="I107" s="38"/>
      <c r="J107" s="60"/>
      <c r="K107" s="60"/>
      <c r="L107" s="60"/>
      <c r="M107" s="2"/>
      <c r="N107" s="5"/>
      <c r="O107" s="6"/>
    </row>
    <row r="108" spans="2:15" x14ac:dyDescent="0.3">
      <c r="B108" s="1"/>
      <c r="D108" s="48"/>
      <c r="E108" s="27"/>
      <c r="F108" s="30"/>
      <c r="G108" s="30"/>
      <c r="H108" s="48"/>
      <c r="I108" s="50"/>
      <c r="J108" s="58"/>
      <c r="K108" s="58"/>
      <c r="L108" s="58"/>
    </row>
    <row r="109" spans="2:15" x14ac:dyDescent="0.3">
      <c r="B109" s="1"/>
      <c r="C109" s="48"/>
      <c r="D109" s="48"/>
      <c r="E109" s="27"/>
      <c r="F109" s="30"/>
      <c r="G109" s="30"/>
      <c r="H109" s="48"/>
      <c r="I109" s="50"/>
      <c r="J109" s="58"/>
      <c r="K109" s="58"/>
      <c r="L109" s="58"/>
    </row>
    <row r="110" spans="2:15" x14ac:dyDescent="0.3">
      <c r="B110" s="1"/>
      <c r="C110" s="2"/>
    </row>
    <row r="111" spans="2:15" x14ac:dyDescent="0.3">
      <c r="B111" s="1"/>
      <c r="C111" s="2"/>
    </row>
    <row r="112" spans="2:15" x14ac:dyDescent="0.3">
      <c r="B112" s="1"/>
      <c r="C112" s="2"/>
    </row>
    <row r="113" spans="2:3" x14ac:dyDescent="0.3">
      <c r="B113" s="1"/>
      <c r="C113" s="2"/>
    </row>
    <row r="114" spans="2:3" x14ac:dyDescent="0.3">
      <c r="B114" s="1"/>
      <c r="C114" s="2"/>
    </row>
    <row r="115" spans="2:3" x14ac:dyDescent="0.3">
      <c r="B115" s="1"/>
      <c r="C115" s="2"/>
    </row>
    <row r="116" spans="2:3" x14ac:dyDescent="0.3">
      <c r="B116" s="1"/>
      <c r="C116" s="2"/>
    </row>
    <row r="117" spans="2:3" x14ac:dyDescent="0.3">
      <c r="B117" s="1"/>
      <c r="C117" s="2"/>
    </row>
    <row r="118" spans="2:3" x14ac:dyDescent="0.3">
      <c r="B118" s="1"/>
      <c r="C118" s="2"/>
    </row>
    <row r="119" spans="2:3" x14ac:dyDescent="0.3">
      <c r="B119" s="1"/>
      <c r="C119" s="2"/>
    </row>
    <row r="120" spans="2:3" x14ac:dyDescent="0.3">
      <c r="B120" s="1"/>
      <c r="C120" s="2"/>
    </row>
    <row r="121" spans="2:3" x14ac:dyDescent="0.3">
      <c r="B121" s="1"/>
      <c r="C121" s="2"/>
    </row>
    <row r="122" spans="2:3" x14ac:dyDescent="0.3">
      <c r="B122" s="1"/>
      <c r="C122" s="2"/>
    </row>
    <row r="123" spans="2:3" x14ac:dyDescent="0.3">
      <c r="B123" s="1"/>
      <c r="C123" s="2"/>
    </row>
    <row r="124" spans="2:3" x14ac:dyDescent="0.3">
      <c r="B124" s="1"/>
      <c r="C124" s="2"/>
    </row>
    <row r="125" spans="2:3" x14ac:dyDescent="0.3">
      <c r="B125" s="1"/>
      <c r="C125" s="2"/>
    </row>
    <row r="126" spans="2:3" x14ac:dyDescent="0.3">
      <c r="B126" s="1"/>
      <c r="C126" s="2"/>
    </row>
    <row r="127" spans="2:3" x14ac:dyDescent="0.3">
      <c r="B127" s="1"/>
      <c r="C127" s="2"/>
    </row>
    <row r="128" spans="2:3" x14ac:dyDescent="0.3">
      <c r="B128" s="1"/>
      <c r="C128" s="2"/>
    </row>
    <row r="129" spans="2:3" x14ac:dyDescent="0.3">
      <c r="B129" s="1"/>
      <c r="C129" s="2"/>
    </row>
    <row r="130" spans="2:3" x14ac:dyDescent="0.3">
      <c r="B130" s="1"/>
      <c r="C130" s="2"/>
    </row>
    <row r="131" spans="2:3" x14ac:dyDescent="0.3">
      <c r="B131" s="1"/>
      <c r="C131" s="2"/>
    </row>
    <row r="132" spans="2:3" x14ac:dyDescent="0.3">
      <c r="B132" s="1"/>
      <c r="C132" s="2"/>
    </row>
    <row r="133" spans="2:3" x14ac:dyDescent="0.3">
      <c r="B133" s="1"/>
      <c r="C133" s="2"/>
    </row>
    <row r="134" spans="2:3" x14ac:dyDescent="0.3">
      <c r="B134" s="1"/>
      <c r="C134" s="2"/>
    </row>
    <row r="135" spans="2:3" x14ac:dyDescent="0.3">
      <c r="B135" s="1"/>
      <c r="C135" s="2"/>
    </row>
    <row r="136" spans="2:3" x14ac:dyDescent="0.3">
      <c r="B136" s="1"/>
      <c r="C136" s="2"/>
    </row>
  </sheetData>
  <mergeCells count="1">
    <mergeCell ref="B2:O3"/>
  </mergeCells>
  <conditionalFormatting sqref="K5:K109">
    <cfRule type="cellIs" dxfId="14" priority="1" operator="equal">
      <formula>"Paid All"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FF9EE-67A2-48F2-AAEA-A36C102D8EF9}">
  <dimension ref="B1:S117"/>
  <sheetViews>
    <sheetView topLeftCell="E7" zoomScale="60" zoomScaleNormal="100" workbookViewId="0">
      <selection activeCell="L25" sqref="L25"/>
    </sheetView>
  </sheetViews>
  <sheetFormatPr defaultRowHeight="14.4" x14ac:dyDescent="0.3"/>
  <cols>
    <col min="3" max="3" width="24" customWidth="1"/>
    <col min="4" max="4" width="18.21875" bestFit="1" customWidth="1"/>
    <col min="5" max="5" width="18.6640625" bestFit="1" customWidth="1"/>
    <col min="6" max="6" width="25.109375" bestFit="1" customWidth="1"/>
    <col min="7" max="7" width="18.21875" bestFit="1" customWidth="1"/>
    <col min="8" max="8" width="21.6640625" bestFit="1" customWidth="1"/>
    <col min="9" max="9" width="20.88671875" customWidth="1"/>
    <col min="10" max="10" width="16.6640625" customWidth="1"/>
    <col min="11" max="11" width="22.109375" customWidth="1"/>
    <col min="12" max="12" width="17" bestFit="1" customWidth="1"/>
    <col min="13" max="13" width="15" customWidth="1"/>
    <col min="14" max="14" width="19.21875" customWidth="1"/>
    <col min="15" max="15" width="11.109375" customWidth="1"/>
    <col min="16" max="16" width="0" hidden="1" customWidth="1"/>
    <col min="24" max="24" width="10.44140625" bestFit="1" customWidth="1"/>
  </cols>
  <sheetData>
    <row r="1" spans="2:19" ht="15" thickBot="1" x14ac:dyDescent="0.35"/>
    <row r="2" spans="2:19" ht="14.4" customHeight="1" x14ac:dyDescent="0.3">
      <c r="B2" s="133" t="s">
        <v>331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5"/>
    </row>
    <row r="3" spans="2:19" ht="14.4" customHeight="1" x14ac:dyDescent="0.3"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</row>
    <row r="4" spans="2:19" x14ac:dyDescent="0.3">
      <c r="B4" s="136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8"/>
    </row>
    <row r="5" spans="2:19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"/>
    </row>
    <row r="6" spans="2:19" ht="15" thickBot="1" x14ac:dyDescent="0.35">
      <c r="B6" s="1"/>
      <c r="C6" s="2"/>
      <c r="D6" s="2"/>
      <c r="E6" s="2"/>
      <c r="F6" s="2"/>
      <c r="G6" s="2"/>
      <c r="H6" s="2"/>
      <c r="I6" s="145"/>
      <c r="J6" s="145"/>
      <c r="K6" s="145"/>
      <c r="L6" s="145"/>
      <c r="M6" s="145"/>
      <c r="N6" s="145"/>
      <c r="O6" s="145"/>
      <c r="P6" s="145"/>
      <c r="Q6" s="145"/>
      <c r="R6" s="2"/>
      <c r="S6" s="3"/>
    </row>
    <row r="7" spans="2:19" x14ac:dyDescent="0.3">
      <c r="B7" s="1"/>
      <c r="C7" s="2"/>
      <c r="D7" s="2"/>
      <c r="E7" s="2"/>
      <c r="F7" s="2"/>
      <c r="G7" s="2"/>
      <c r="H7" s="27"/>
      <c r="I7" s="27"/>
      <c r="J7" s="2"/>
      <c r="K7" s="2"/>
      <c r="L7" s="2"/>
      <c r="M7" s="2"/>
      <c r="N7" s="2"/>
      <c r="Q7" s="42" t="s">
        <v>338</v>
      </c>
      <c r="R7" s="41" t="s">
        <v>339</v>
      </c>
      <c r="S7" s="3"/>
    </row>
    <row r="8" spans="2:19" x14ac:dyDescent="0.3">
      <c r="B8" s="1"/>
      <c r="C8" s="34" t="s">
        <v>334</v>
      </c>
      <c r="D8" s="11"/>
      <c r="E8" s="2"/>
      <c r="F8" s="39">
        <f ca="1">TODAY()</f>
        <v>46315</v>
      </c>
      <c r="G8" s="2"/>
      <c r="H8" s="2"/>
      <c r="I8" s="2"/>
      <c r="J8" s="2"/>
      <c r="K8" s="2"/>
      <c r="L8" s="2"/>
      <c r="M8" s="2"/>
      <c r="N8" s="2"/>
      <c r="Q8" s="24">
        <v>2</v>
      </c>
      <c r="R8" s="45">
        <v>0.01</v>
      </c>
      <c r="S8" s="3"/>
    </row>
    <row r="9" spans="2:19" x14ac:dyDescent="0.3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Q9" s="43">
        <v>5</v>
      </c>
      <c r="R9" s="46">
        <v>0.02</v>
      </c>
      <c r="S9" s="3"/>
    </row>
    <row r="10" spans="2:19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Q10" s="43">
        <f>Q9+5</f>
        <v>10</v>
      </c>
      <c r="R10" s="46">
        <f>R9+3%</f>
        <v>0.05</v>
      </c>
      <c r="S10" s="3"/>
    </row>
    <row r="11" spans="2:19" x14ac:dyDescent="0.3">
      <c r="B11" s="1"/>
      <c r="C11" s="2" t="s">
        <v>332</v>
      </c>
      <c r="D11" t="s">
        <v>333</v>
      </c>
      <c r="E11" t="s">
        <v>13</v>
      </c>
      <c r="F11" s="32" t="s">
        <v>342</v>
      </c>
      <c r="G11" s="30" t="s">
        <v>343</v>
      </c>
      <c r="H11" t="s">
        <v>336</v>
      </c>
      <c r="I11" t="s">
        <v>346</v>
      </c>
      <c r="J11" s="30" t="s">
        <v>340</v>
      </c>
      <c r="K11" s="56" t="s">
        <v>335</v>
      </c>
      <c r="L11" s="56" t="s">
        <v>344</v>
      </c>
      <c r="M11" s="57" t="s">
        <v>348</v>
      </c>
      <c r="N11" s="55" t="s">
        <v>349</v>
      </c>
      <c r="O11" s="57" t="s">
        <v>345</v>
      </c>
      <c r="P11" t="s">
        <v>327</v>
      </c>
      <c r="Q11" s="43">
        <f t="shared" ref="Q11:Q20" si="0">Q10+5</f>
        <v>15</v>
      </c>
      <c r="R11" s="46">
        <f t="shared" ref="R11:R21" si="1">R10+3%</f>
        <v>0.08</v>
      </c>
      <c r="S11" s="3"/>
    </row>
    <row r="12" spans="2:19" x14ac:dyDescent="0.3">
      <c r="B12" s="1"/>
      <c r="C12" s="22">
        <v>1</v>
      </c>
      <c r="D12" s="2" t="str">
        <f>PR!D6</f>
        <v>INV-2026-001</v>
      </c>
      <c r="E12" s="2" t="str">
        <f>VLOOKUP(Table2[[#This Row],[Invoice Number]],Table4[[Invoice Number]:[Payment Refence]],2)</f>
        <v>Oliver Bennett</v>
      </c>
      <c r="F12" s="27">
        <f>VLOOKUP(Table2[[#This Row],[Invoice Number]],Table4[[Invoice Number]:[Payment Refence]],3)</f>
        <v>46311</v>
      </c>
      <c r="G12" s="23">
        <f>VLOOKUP(Table2[[#This Row],[Invoice Number]],Table4[[Invoice Number]:[Payment Refence]],4)</f>
        <v>450</v>
      </c>
      <c r="H12" s="2" t="str">
        <f>VLOOKUP(Table2[[#This Row],[Invoice Number]],Table4[[Invoice Number]:[Payment Refence]],5)</f>
        <v>Office supplies</v>
      </c>
      <c r="I12" s="2" t="str">
        <f>VLOOKUP(Table2[[#This Row],[Invoice Number]],Table4[[Invoice Number]:[Payment Refence]],6)</f>
        <v>PAY-7001</v>
      </c>
      <c r="J12" s="53">
        <f>VLOOKUP(Table2[[#This Row],[Invoice Number]],PR!$D$6:$M$110,9)</f>
        <v>225</v>
      </c>
      <c r="K12" s="58">
        <f>CT!K5</f>
        <v>225</v>
      </c>
      <c r="L1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225</v>
      </c>
      <c r="M12" s="51">
        <f ca="1">IF(Table2[[#This Row],[Outstanding Amount]]&gt;1,$F$8-Table2[[#This Row],[Date of invoice]],"")</f>
        <v>4</v>
      </c>
      <c r="N12">
        <f>CT!M5</f>
        <v>30</v>
      </c>
      <c r="O1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2" s="43">
        <f t="shared" si="0"/>
        <v>20</v>
      </c>
      <c r="R12" s="46">
        <f t="shared" si="1"/>
        <v>0.11</v>
      </c>
      <c r="S12" s="3"/>
    </row>
    <row r="13" spans="2:19" x14ac:dyDescent="0.3">
      <c r="B13" s="1"/>
      <c r="C13" s="22">
        <f>C12+1</f>
        <v>2</v>
      </c>
      <c r="D13" s="2" t="str">
        <f>PR!D7</f>
        <v>INV-2026-002</v>
      </c>
      <c r="E13" s="2" t="str">
        <f>VLOOKUP(Table2[[#This Row],[Invoice Number]],Table4[[Invoice Number]:[Payment Refence]],2)</f>
        <v>Amelia Carter</v>
      </c>
      <c r="F13" s="27">
        <f>VLOOKUP(Table2[[#This Row],[Invoice Number]],Table4[[Invoice Number]:[Payment Refence]],3)</f>
        <v>46254</v>
      </c>
      <c r="G13" s="23">
        <f>VLOOKUP(Table2[[#This Row],[Invoice Number]],Table4[[Invoice Number]:[Payment Refence]],4)</f>
        <v>1250.5</v>
      </c>
      <c r="H13" s="23" t="str">
        <f>VLOOKUP(Table2[[#This Row],[Invoice Number]],Table4[[Invoice Number]:[Payment Refence]],5)</f>
        <v>Consulting services</v>
      </c>
      <c r="I13" s="48" t="str">
        <f>VLOOKUP(Table2[[#This Row],[Invoice Number]],Table4[[Invoice Number]:[Payment Refence]],6)</f>
        <v>PAY-7002</v>
      </c>
      <c r="J13" s="53">
        <f>VLOOKUP(Table2[[#This Row],[Invoice Number]],PR!$D$6:$M$110,9)</f>
        <v>625.25</v>
      </c>
      <c r="K13" s="58">
        <f>CT!K6</f>
        <v>625.25</v>
      </c>
      <c r="L1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731.54250000000002</v>
      </c>
      <c r="M13" s="51">
        <f ca="1">IF(Table2[[#This Row],[Outstanding Amount]]&gt;1,$F$8-Table2[[#This Row],[Date of invoice]],"")</f>
        <v>61</v>
      </c>
      <c r="N13">
        <f>CT!M6</f>
        <v>30</v>
      </c>
      <c r="O13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31</v>
      </c>
      <c r="Q13" s="43">
        <f t="shared" si="0"/>
        <v>25</v>
      </c>
      <c r="R13" s="46">
        <f t="shared" si="1"/>
        <v>0.14000000000000001</v>
      </c>
      <c r="S13" s="3"/>
    </row>
    <row r="14" spans="2:19" x14ac:dyDescent="0.3">
      <c r="B14" s="1"/>
      <c r="C14" s="22">
        <f t="shared" ref="C14:C34" si="2">C13+1</f>
        <v>3</v>
      </c>
      <c r="D14" s="2" t="str">
        <f>PR!D8</f>
        <v>INV-2026-003</v>
      </c>
      <c r="E14" s="2" t="str">
        <f>VLOOKUP(Table2[[#This Row],[Invoice Number]],Table4[[Invoice Number]:[Payment Refence]],2)</f>
        <v>George Mitchell</v>
      </c>
      <c r="F14" s="27">
        <f>VLOOKUP(Table2[[#This Row],[Invoice Number]],Table4[[Invoice Number]:[Payment Refence]],3)</f>
        <v>46259</v>
      </c>
      <c r="G14" s="23">
        <f>VLOOKUP(Table2[[#This Row],[Invoice Number]],Table4[[Invoice Number]:[Payment Refence]],4)</f>
        <v>785.25</v>
      </c>
      <c r="H14" s="23" t="str">
        <f>VLOOKUP(Table2[[#This Row],[Invoice Number]],Table4[[Invoice Number]:[Payment Refence]],5)</f>
        <v>Equipment purchase</v>
      </c>
      <c r="I14" s="48" t="str">
        <f>VLOOKUP(Table2[[#This Row],[Invoice Number]],Table4[[Invoice Number]:[Payment Refence]],6)</f>
        <v>PAY-7003</v>
      </c>
      <c r="J14" s="53">
        <f>VLOOKUP(Table2[[#This Row],[Invoice Number]],PR!$D$6:$M$110,9)</f>
        <v>785.25</v>
      </c>
      <c r="K14" s="58" t="str">
        <f>CT!K7</f>
        <v>Paid All</v>
      </c>
      <c r="L1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785.25</v>
      </c>
      <c r="M14" s="51">
        <f ca="1">IF(Table2[[#This Row],[Outstanding Amount]]&gt;1,$F$8-Table2[[#This Row],[Date of invoice]],"")</f>
        <v>56</v>
      </c>
      <c r="N14">
        <f>CT!M7</f>
        <v>30</v>
      </c>
      <c r="O14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26</v>
      </c>
      <c r="Q14" s="43">
        <f t="shared" si="0"/>
        <v>30</v>
      </c>
      <c r="R14" s="46">
        <f t="shared" si="1"/>
        <v>0.17</v>
      </c>
      <c r="S14" s="3"/>
    </row>
    <row r="15" spans="2:19" ht="15" thickBot="1" x14ac:dyDescent="0.35">
      <c r="B15" s="1"/>
      <c r="C15" s="22">
        <f t="shared" si="2"/>
        <v>4</v>
      </c>
      <c r="D15" s="2" t="str">
        <f>PR!D9</f>
        <v>INV-2026-004</v>
      </c>
      <c r="E15" s="2" t="str">
        <f>VLOOKUP(Table2[[#This Row],[Invoice Number]],Table4[[Invoice Number]:[Payment Refence]],2)</f>
        <v>Isla Thompson</v>
      </c>
      <c r="F15" s="27">
        <f>VLOOKUP(Table2[[#This Row],[Invoice Number]],Table4[[Invoice Number]:[Payment Refence]],3)</f>
        <v>46267</v>
      </c>
      <c r="G15" s="23">
        <f>VLOOKUP(Table2[[#This Row],[Invoice Number]],Table4[[Invoice Number]:[Payment Refence]],4)</f>
        <v>320</v>
      </c>
      <c r="H15" s="23" t="str">
        <f>VLOOKUP(Table2[[#This Row],[Invoice Number]],Table4[[Invoice Number]:[Payment Refence]],5)</f>
        <v>Monthly subscription</v>
      </c>
      <c r="I15" s="48" t="str">
        <f>VLOOKUP(Table2[[#This Row],[Invoice Number]],Table4[[Invoice Number]:[Payment Refence]],6)</f>
        <v>PAY-7004</v>
      </c>
      <c r="J15" s="53">
        <f>VLOOKUP(Table2[[#This Row],[Invoice Number]],PR!$D$6:$M$110,9)</f>
        <v>160</v>
      </c>
      <c r="K15" s="58">
        <f>CT!K8</f>
        <v>160</v>
      </c>
      <c r="L1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172.8</v>
      </c>
      <c r="M15" s="51">
        <f ca="1">IF(Table2[[#This Row],[Outstanding Amount]]&gt;1,$F$8-Table2[[#This Row],[Date of invoice]],"")</f>
        <v>48</v>
      </c>
      <c r="N15">
        <f>CT!M8</f>
        <v>30</v>
      </c>
      <c r="O1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18</v>
      </c>
      <c r="Q15" s="44">
        <f t="shared" si="0"/>
        <v>35</v>
      </c>
      <c r="R15" s="47">
        <f t="shared" si="1"/>
        <v>0.2</v>
      </c>
      <c r="S15" s="3"/>
    </row>
    <row r="16" spans="2:19" ht="15" thickBot="1" x14ac:dyDescent="0.35">
      <c r="B16" s="1"/>
      <c r="C16" s="22">
        <f t="shared" si="2"/>
        <v>5</v>
      </c>
      <c r="D16" s="2" t="str">
        <f>PR!D10</f>
        <v>INV-2026-005</v>
      </c>
      <c r="E16" s="2" t="str">
        <f>VLOOKUP(Table2[[#This Row],[Invoice Number]],Table4[[Invoice Number]:[Payment Refence]],2)</f>
        <v>Harry Wilson</v>
      </c>
      <c r="F16" s="27">
        <f>VLOOKUP(Table2[[#This Row],[Invoice Number]],Table4[[Invoice Number]:[Payment Refence]],3)</f>
        <v>46270</v>
      </c>
      <c r="G16" s="23">
        <f>VLOOKUP(Table2[[#This Row],[Invoice Number]],Table4[[Invoice Number]:[Payment Refence]],4)</f>
        <v>2100</v>
      </c>
      <c r="H16" s="23" t="str">
        <f>VLOOKUP(Table2[[#This Row],[Invoice Number]],Table4[[Invoice Number]:[Payment Refence]],5)</f>
        <v>Project delivery</v>
      </c>
      <c r="I16" s="48" t="str">
        <f>VLOOKUP(Table2[[#This Row],[Invoice Number]],Table4[[Invoice Number]:[Payment Refence]],6)</f>
        <v>PAY-7005</v>
      </c>
      <c r="J16" s="53">
        <f>VLOOKUP(Table2[[#This Row],[Invoice Number]],PR!$D$6:$M$110,9)</f>
        <v>1050</v>
      </c>
      <c r="K16" s="58">
        <f>CT!K9</f>
        <v>1050</v>
      </c>
      <c r="L1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1134</v>
      </c>
      <c r="M16" s="51">
        <f ca="1">IF(Table2[[#This Row],[Outstanding Amount]]&gt;1,$F$8-Table2[[#This Row],[Date of invoice]],"")</f>
        <v>45</v>
      </c>
      <c r="N16" s="2">
        <f>CT!M9</f>
        <v>30</v>
      </c>
      <c r="O1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15</v>
      </c>
      <c r="Q16" s="44">
        <f t="shared" si="0"/>
        <v>40</v>
      </c>
      <c r="R16" s="47">
        <f t="shared" si="1"/>
        <v>0.23</v>
      </c>
      <c r="S16" s="3"/>
    </row>
    <row r="17" spans="2:19" ht="15" thickBot="1" x14ac:dyDescent="0.35">
      <c r="B17" s="1"/>
      <c r="C17" s="22">
        <f t="shared" si="2"/>
        <v>6</v>
      </c>
      <c r="D17" s="2" t="str">
        <f>PR!D11</f>
        <v>INV-2026-006</v>
      </c>
      <c r="E17" s="2" t="str">
        <f>VLOOKUP(Table2[[#This Row],[Invoice Number]],Table4[[Invoice Number]:[Payment Refence]],2)</f>
        <v>Ava Robinson</v>
      </c>
      <c r="F17" s="27">
        <f>VLOOKUP(Table2[[#This Row],[Invoice Number]],Table4[[Invoice Number]:[Payment Refence]],3)</f>
        <v>46275</v>
      </c>
      <c r="G17" s="23">
        <f>VLOOKUP(Table2[[#This Row],[Invoice Number]],Table4[[Invoice Number]:[Payment Refence]],4)</f>
        <v>675.8</v>
      </c>
      <c r="H17" s="23" t="str">
        <f>VLOOKUP(Table2[[#This Row],[Invoice Number]],Table4[[Invoice Number]:[Payment Refence]],5)</f>
        <v>Marketing services</v>
      </c>
      <c r="I17" s="48" t="str">
        <f>VLOOKUP(Table2[[#This Row],[Invoice Number]],Table4[[Invoice Number]:[Payment Refence]],6)</f>
        <v>PAY-7006</v>
      </c>
      <c r="J17" s="53">
        <f>VLOOKUP(Table2[[#This Row],[Invoice Number]],PR!$D$6:$M$110,9)</f>
        <v>337.9</v>
      </c>
      <c r="K17" s="58">
        <f>CT!K10</f>
        <v>337.9</v>
      </c>
      <c r="L1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354.79499999999996</v>
      </c>
      <c r="M17" s="51">
        <f ca="1">IF(Table2[[#This Row],[Outstanding Amount]]&gt;1,$F$8-Table2[[#This Row],[Date of invoice]],"")</f>
        <v>40</v>
      </c>
      <c r="N17" s="2">
        <f>CT!M10</f>
        <v>30</v>
      </c>
      <c r="O1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10</v>
      </c>
      <c r="Q17" s="44">
        <f t="shared" si="0"/>
        <v>45</v>
      </c>
      <c r="R17" s="47">
        <f t="shared" si="1"/>
        <v>0.26</v>
      </c>
      <c r="S17" s="3"/>
    </row>
    <row r="18" spans="2:19" ht="15" thickBot="1" x14ac:dyDescent="0.35">
      <c r="B18" s="1"/>
      <c r="C18" s="22">
        <f t="shared" si="2"/>
        <v>7</v>
      </c>
      <c r="D18" s="2" t="str">
        <f>PR!D12</f>
        <v>INV-2026-007</v>
      </c>
      <c r="E18" s="2" t="str">
        <f>VLOOKUP(Table2[[#This Row],[Invoice Number]],Table4[[Invoice Number]:[Payment Refence]],2)</f>
        <v>Noah Walker</v>
      </c>
      <c r="F18" s="27">
        <f>VLOOKUP(Table2[[#This Row],[Invoice Number]],Table4[[Invoice Number]:[Payment Refence]],3)</f>
        <v>46277</v>
      </c>
      <c r="G18" s="23">
        <f>VLOOKUP(Table2[[#This Row],[Invoice Number]],Table4[[Invoice Number]:[Payment Refence]],4)</f>
        <v>540</v>
      </c>
      <c r="H18" s="23" t="str">
        <f>VLOOKUP(Table2[[#This Row],[Invoice Number]],Table4[[Invoice Number]:[Payment Refence]],5)</f>
        <v>Maintenance services</v>
      </c>
      <c r="I18" s="48" t="str">
        <f>VLOOKUP(Table2[[#This Row],[Invoice Number]],Table4[[Invoice Number]:[Payment Refence]],6)</f>
        <v>PAY-7007</v>
      </c>
      <c r="J18" s="53">
        <f>VLOOKUP(Table2[[#This Row],[Invoice Number]],PR!$D$6:$M$110,9)</f>
        <v>540</v>
      </c>
      <c r="K18" s="58" t="str">
        <f>CT!K11</f>
        <v>Paid All</v>
      </c>
      <c r="L1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540</v>
      </c>
      <c r="M18" s="51">
        <f ca="1">IF(Table2[[#This Row],[Outstanding Amount]]&gt;1,$F$8-Table2[[#This Row],[Date of invoice]],"")</f>
        <v>38</v>
      </c>
      <c r="N18" s="33">
        <f>CT!M11</f>
        <v>30</v>
      </c>
      <c r="O1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8</v>
      </c>
      <c r="Q18" s="44">
        <f t="shared" si="0"/>
        <v>50</v>
      </c>
      <c r="R18" s="47">
        <f t="shared" si="1"/>
        <v>0.29000000000000004</v>
      </c>
      <c r="S18" s="3"/>
    </row>
    <row r="19" spans="2:19" ht="15" thickBot="1" x14ac:dyDescent="0.35">
      <c r="B19" s="1"/>
      <c r="C19" s="22">
        <f t="shared" si="2"/>
        <v>8</v>
      </c>
      <c r="D19" s="2" t="str">
        <f>PR!D13</f>
        <v>INV-2026-008</v>
      </c>
      <c r="E19" s="2" t="str">
        <f>VLOOKUP(Table2[[#This Row],[Invoice Number]],Table4[[Invoice Number]:[Payment Refence]],2)</f>
        <v>Grace Hall</v>
      </c>
      <c r="F19" s="27">
        <f>VLOOKUP(Table2[[#This Row],[Invoice Number]],Table4[[Invoice Number]:[Payment Refence]],3)</f>
        <v>46280</v>
      </c>
      <c r="G19" s="23">
        <f>VLOOKUP(Table2[[#This Row],[Invoice Number]],Table4[[Invoice Number]:[Payment Refence]],4)</f>
        <v>1890.75</v>
      </c>
      <c r="H19" s="23" t="str">
        <f>VLOOKUP(Table2[[#This Row],[Invoice Number]],Table4[[Invoice Number]:[Payment Refence]],5)</f>
        <v>Software licence</v>
      </c>
      <c r="I19" s="48" t="str">
        <f>VLOOKUP(Table2[[#This Row],[Invoice Number]],Table4[[Invoice Number]:[Payment Refence]],6)</f>
        <v>PAY-7008</v>
      </c>
      <c r="J19" s="53">
        <f>VLOOKUP(Table2[[#This Row],[Invoice Number]],PR!$D$6:$M$110,9)</f>
        <v>945.375</v>
      </c>
      <c r="K19" s="58">
        <f>CT!K12</f>
        <v>945.375</v>
      </c>
      <c r="L1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964.28250000000003</v>
      </c>
      <c r="M19" s="51">
        <f ca="1">IF(Table2[[#This Row],[Outstanding Amount]]&gt;1,$F$8-Table2[[#This Row],[Date of invoice]],"")</f>
        <v>35</v>
      </c>
      <c r="N19" s="33">
        <f>CT!M12</f>
        <v>30</v>
      </c>
      <c r="O1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5</v>
      </c>
      <c r="Q19" s="44">
        <f t="shared" si="0"/>
        <v>55</v>
      </c>
      <c r="R19" s="47">
        <f t="shared" si="1"/>
        <v>0.32000000000000006</v>
      </c>
      <c r="S19" s="3"/>
    </row>
    <row r="20" spans="2:19" ht="15" thickBot="1" x14ac:dyDescent="0.35">
      <c r="B20" s="1"/>
      <c r="C20" s="22">
        <f t="shared" si="2"/>
        <v>9</v>
      </c>
      <c r="D20" s="2" t="str">
        <f>PR!D14</f>
        <v>INV-2026-009</v>
      </c>
      <c r="E20" s="2" t="str">
        <f>VLOOKUP(Table2[[#This Row],[Invoice Number]],Table4[[Invoice Number]:[Payment Refence]],2)</f>
        <v>Jack Young</v>
      </c>
      <c r="F20" s="27">
        <f>VLOOKUP(Table2[[#This Row],[Invoice Number]],Table4[[Invoice Number]:[Payment Refence]],3)</f>
        <v>46283</v>
      </c>
      <c r="G20" s="23">
        <f>VLOOKUP(Table2[[#This Row],[Invoice Number]],Table4[[Invoice Number]:[Payment Refence]],4)</f>
        <v>265.5</v>
      </c>
      <c r="H20" s="23" t="str">
        <f>VLOOKUP(Table2[[#This Row],[Invoice Number]],Table4[[Invoice Number]:[Payment Refence]],5)</f>
        <v>Stationery order</v>
      </c>
      <c r="I20" s="48" t="str">
        <f>VLOOKUP(Table2[[#This Row],[Invoice Number]],Table4[[Invoice Number]:[Payment Refence]],6)</f>
        <v>PAY-7009</v>
      </c>
      <c r="J20" s="53">
        <f>VLOOKUP(Table2[[#This Row],[Invoice Number]],PR!$D$6:$M$110,9)</f>
        <v>265.5</v>
      </c>
      <c r="K20" s="58" t="str">
        <f>CT!K13</f>
        <v>Paid All</v>
      </c>
      <c r="L2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265.5</v>
      </c>
      <c r="M20" s="51">
        <f ca="1">IF(Table2[[#This Row],[Outstanding Amount]]&gt;1,$F$8-Table2[[#This Row],[Date of invoice]],"")</f>
        <v>32</v>
      </c>
      <c r="N20" s="33">
        <f>CT!M13</f>
        <v>30</v>
      </c>
      <c r="O20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</v>
      </c>
      <c r="Q20" s="49">
        <f t="shared" si="0"/>
        <v>60</v>
      </c>
      <c r="R20" s="47">
        <f t="shared" si="1"/>
        <v>0.35000000000000009</v>
      </c>
      <c r="S20" s="3"/>
    </row>
    <row r="21" spans="2:19" ht="15" thickBot="1" x14ac:dyDescent="0.35">
      <c r="B21" s="1"/>
      <c r="C21" s="22">
        <f t="shared" si="2"/>
        <v>10</v>
      </c>
      <c r="D21" s="2" t="str">
        <f>PR!D15</f>
        <v>INV-2026-010</v>
      </c>
      <c r="E21" s="2" t="str">
        <f>VLOOKUP(Table2[[#This Row],[Invoice Number]],Table4[[Invoice Number]:[Payment Refence]],2)</f>
        <v>Lily Allen</v>
      </c>
      <c r="F21" s="27">
        <f>VLOOKUP(Table2[[#This Row],[Invoice Number]],Table4[[Invoice Number]:[Payment Refence]],3)</f>
        <v>46285</v>
      </c>
      <c r="G21" s="23">
        <f>VLOOKUP(Table2[[#This Row],[Invoice Number]],Table4[[Invoice Number]:[Payment Refence]],4)</f>
        <v>980</v>
      </c>
      <c r="H21" s="23" t="str">
        <f>VLOOKUP(Table2[[#This Row],[Invoice Number]],Table4[[Invoice Number]:[Payment Refence]],5)</f>
        <v>Training services</v>
      </c>
      <c r="I21" s="48" t="str">
        <f>VLOOKUP(Table2[[#This Row],[Invoice Number]],Table4[[Invoice Number]:[Payment Refence]],6)</f>
        <v>PAY-7010</v>
      </c>
      <c r="J21" s="53">
        <f>VLOOKUP(Table2[[#This Row],[Invoice Number]],PR!$D$6:$M$110,9)</f>
        <v>490</v>
      </c>
      <c r="K21" s="58">
        <f>CT!K14</f>
        <v>490</v>
      </c>
      <c r="L2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490</v>
      </c>
      <c r="M21" s="51">
        <f ca="1">IF(Table2[[#This Row],[Outstanding Amount]]&gt;1,$F$8-Table2[[#This Row],[Date of invoice]],"")</f>
        <v>30</v>
      </c>
      <c r="N21" s="33">
        <f>CT!M14</f>
        <v>30</v>
      </c>
      <c r="O21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1" s="25">
        <v>70</v>
      </c>
      <c r="R21" s="47">
        <f t="shared" si="1"/>
        <v>0.38000000000000012</v>
      </c>
      <c r="S21" s="3"/>
    </row>
    <row r="22" spans="2:19" x14ac:dyDescent="0.3">
      <c r="B22" s="1"/>
      <c r="C22" s="22">
        <f t="shared" si="2"/>
        <v>11</v>
      </c>
      <c r="D22" s="2" t="str">
        <f>PR!D16</f>
        <v>INV-2026-011</v>
      </c>
      <c r="E22" s="2" t="str">
        <f>VLOOKUP(Table2[[#This Row],[Invoice Number]],Table4[[Invoice Number]:[Payment Refence]],2)</f>
        <v>Charlie King</v>
      </c>
      <c r="F22" s="27">
        <f>VLOOKUP(Table2[[#This Row],[Invoice Number]],Table4[[Invoice Number]:[Payment Refence]],3)</f>
        <v>46287</v>
      </c>
      <c r="G22" s="23">
        <f>VLOOKUP(Table2[[#This Row],[Invoice Number]],Table4[[Invoice Number]:[Payment Refence]],4)</f>
        <v>1450</v>
      </c>
      <c r="H22" s="23" t="str">
        <f>VLOOKUP(Table2[[#This Row],[Invoice Number]],Table4[[Invoice Number]:[Payment Refence]],5)</f>
        <v>Consulting services</v>
      </c>
      <c r="I22" s="48" t="str">
        <f>VLOOKUP(Table2[[#This Row],[Invoice Number]],Table4[[Invoice Number]:[Payment Refence]],6)</f>
        <v>PAY-7011</v>
      </c>
      <c r="J22" s="53">
        <f>VLOOKUP(Table2[[#This Row],[Invoice Number]],PR!$D$6:$M$110,9)</f>
        <v>725</v>
      </c>
      <c r="K22" s="58">
        <f>CT!K15</f>
        <v>725</v>
      </c>
      <c r="L2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725</v>
      </c>
      <c r="M22" s="51">
        <f ca="1">IF(Table2[[#This Row],[Outstanding Amount]]&gt;1,$F$8-Table2[[#This Row],[Date of invoice]],"")</f>
        <v>28</v>
      </c>
      <c r="N22" s="2">
        <f>CT!M15</f>
        <v>30</v>
      </c>
      <c r="O2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2" s="2"/>
      <c r="R22" s="2"/>
      <c r="S22" s="3"/>
    </row>
    <row r="23" spans="2:19" x14ac:dyDescent="0.3">
      <c r="B23" s="1"/>
      <c r="C23" s="22">
        <f t="shared" si="2"/>
        <v>12</v>
      </c>
      <c r="D23" s="2" t="str">
        <f>PR!D17</f>
        <v>INV-2026-012</v>
      </c>
      <c r="E23" s="2" t="str">
        <f>VLOOKUP(Table2[[#This Row],[Invoice Number]],Table4[[Invoice Number]:[Payment Refence]],2)</f>
        <v>Mia Wright</v>
      </c>
      <c r="F23" s="27">
        <f>VLOOKUP(Table2[[#This Row],[Invoice Number]],Table4[[Invoice Number]:[Payment Refence]],3)</f>
        <v>46290</v>
      </c>
      <c r="G23" s="23">
        <f>VLOOKUP(Table2[[#This Row],[Invoice Number]],Table4[[Invoice Number]:[Payment Refence]],4)</f>
        <v>375.25</v>
      </c>
      <c r="H23" s="23" t="str">
        <f>VLOOKUP(Table2[[#This Row],[Invoice Number]],Table4[[Invoice Number]:[Payment Refence]],5)</f>
        <v>Office supplies</v>
      </c>
      <c r="I23" s="48" t="str">
        <f>VLOOKUP(Table2[[#This Row],[Invoice Number]],Table4[[Invoice Number]:[Payment Refence]],6)</f>
        <v>PAY-7012</v>
      </c>
      <c r="J23" s="53">
        <f>VLOOKUP(Table2[[#This Row],[Invoice Number]],PR!$D$6:$M$110,9)</f>
        <v>187.625</v>
      </c>
      <c r="K23" s="58">
        <f>CT!K16</f>
        <v>187.625</v>
      </c>
      <c r="L2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187.625</v>
      </c>
      <c r="M23" s="51">
        <f ca="1">IF(Table2[[#This Row],[Outstanding Amount]]&gt;1,$F$8-Table2[[#This Row],[Date of invoice]],"")</f>
        <v>25</v>
      </c>
      <c r="N23" s="2">
        <f>CT!M16</f>
        <v>30</v>
      </c>
      <c r="O2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3" s="2"/>
      <c r="R23" s="2"/>
      <c r="S23" s="3"/>
    </row>
    <row r="24" spans="2:19" x14ac:dyDescent="0.3">
      <c r="B24" s="1"/>
      <c r="C24" s="22">
        <f t="shared" si="2"/>
        <v>13</v>
      </c>
      <c r="D24" s="2" t="str">
        <f>PR!D18</f>
        <v>INV-2026-013</v>
      </c>
      <c r="E24" s="2" t="str">
        <f>VLOOKUP(Table2[[#This Row],[Invoice Number]],Table4[[Invoice Number]:[Payment Refence]],2)</f>
        <v>Thomas Scott</v>
      </c>
      <c r="F24" s="27">
        <f>VLOOKUP(Table2[[#This Row],[Invoice Number]],Table4[[Invoice Number]:[Payment Refence]],3)</f>
        <v>46293</v>
      </c>
      <c r="G24" s="23">
        <f>VLOOKUP(Table2[[#This Row],[Invoice Number]],Table4[[Invoice Number]:[Payment Refence]],4)</f>
        <v>2750</v>
      </c>
      <c r="H24" s="23" t="str">
        <f>VLOOKUP(Table2[[#This Row],[Invoice Number]],Table4[[Invoice Number]:[Payment Refence]],5)</f>
        <v>Equipment purchase</v>
      </c>
      <c r="I24" s="48" t="str">
        <f>VLOOKUP(Table2[[#This Row],[Invoice Number]],Table4[[Invoice Number]:[Payment Refence]],6)</f>
        <v>PAY-7013</v>
      </c>
      <c r="J24" s="53">
        <f>VLOOKUP(Table2[[#This Row],[Invoice Number]],PR!$D$6:$M$110,9)</f>
        <v>1375</v>
      </c>
      <c r="K24" s="58">
        <f>CT!K17</f>
        <v>1375</v>
      </c>
      <c r="L2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1375</v>
      </c>
      <c r="M24" s="51">
        <f ca="1">IF(Table2[[#This Row],[Outstanding Amount]]&gt;1,$F$8-Table2[[#This Row],[Date of invoice]],"")</f>
        <v>22</v>
      </c>
      <c r="N24" s="2">
        <f>CT!M17</f>
        <v>30</v>
      </c>
      <c r="O2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4" s="2"/>
      <c r="R24" s="2"/>
      <c r="S24" s="3"/>
    </row>
    <row r="25" spans="2:19" x14ac:dyDescent="0.3">
      <c r="B25" s="1"/>
      <c r="C25" s="22">
        <f t="shared" si="2"/>
        <v>14</v>
      </c>
      <c r="D25" s="2" t="str">
        <f>PR!D19</f>
        <v>INV-2026-014</v>
      </c>
      <c r="E25" s="2" t="str">
        <f>VLOOKUP(Table2[[#This Row],[Invoice Number]],Table4[[Invoice Number]:[Payment Refence]],2)</f>
        <v>Sophia Green</v>
      </c>
      <c r="F25" s="27">
        <f>VLOOKUP(Table2[[#This Row],[Invoice Number]],Table4[[Invoice Number]:[Payment Refence]],3)</f>
        <v>46295</v>
      </c>
      <c r="G25" s="23">
        <f>VLOOKUP(Table2[[#This Row],[Invoice Number]],Table4[[Invoice Number]:[Payment Refence]],4)</f>
        <v>625</v>
      </c>
      <c r="H25" s="23" t="str">
        <f>VLOOKUP(Table2[[#This Row],[Invoice Number]],Table4[[Invoice Number]:[Payment Refence]],5)</f>
        <v>Monthly subscription</v>
      </c>
      <c r="I25" s="48" t="str">
        <f>VLOOKUP(Table2[[#This Row],[Invoice Number]],Table4[[Invoice Number]:[Payment Refence]],6)</f>
        <v>PAY-7014</v>
      </c>
      <c r="J25" s="53">
        <f>VLOOKUP(Table2[[#This Row],[Invoice Number]],PR!$D$6:$M$110,9)</f>
        <v>675</v>
      </c>
      <c r="K25" s="58">
        <f>CT!K18</f>
        <v>-50</v>
      </c>
      <c r="L25" s="58">
        <f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675</v>
      </c>
      <c r="M25" s="51" t="str">
        <f>IF(Table2[[#This Row],[Outstanding Amount]]&gt;1,$F$8-Table2[[#This Row],[Date of invoice]],"")</f>
        <v/>
      </c>
      <c r="N25" s="2">
        <f>CT!M18</f>
        <v>30</v>
      </c>
      <c r="O25" s="51" t="str">
        <f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5" s="2"/>
      <c r="R25" s="2"/>
      <c r="S25" s="3"/>
    </row>
    <row r="26" spans="2:19" x14ac:dyDescent="0.3">
      <c r="B26" s="1"/>
      <c r="C26" s="22">
        <f t="shared" si="2"/>
        <v>15</v>
      </c>
      <c r="D26" s="2" t="str">
        <f>PR!D20</f>
        <v>INV-2026-015</v>
      </c>
      <c r="E26" s="2" t="str">
        <f>VLOOKUP(Table2[[#This Row],[Invoice Number]],Table4[[Invoice Number]:[Payment Refence]],2)</f>
        <v>Oscar Baker</v>
      </c>
      <c r="F26" s="27">
        <f>VLOOKUP(Table2[[#This Row],[Invoice Number]],Table4[[Invoice Number]:[Payment Refence]],3)</f>
        <v>46175</v>
      </c>
      <c r="G26" s="23">
        <f>VLOOKUP(Table2[[#This Row],[Invoice Number]],Table4[[Invoice Number]:[Payment Refence]],4)</f>
        <v>1120.8</v>
      </c>
      <c r="H26" s="23" t="str">
        <f>VLOOKUP(Table2[[#This Row],[Invoice Number]],Table4[[Invoice Number]:[Payment Refence]],5)</f>
        <v>Project delivery</v>
      </c>
      <c r="I26" s="48" t="str">
        <f>VLOOKUP(Table2[[#This Row],[Invoice Number]],Table4[[Invoice Number]:[Payment Refence]],6)</f>
        <v>PAY-7015</v>
      </c>
      <c r="J26" s="53">
        <f>VLOOKUP(Table2[[#This Row],[Invoice Number]],PR!$D$6:$M$110,9)</f>
        <v>560.4</v>
      </c>
      <c r="K26" s="58">
        <f>CT!K19</f>
        <v>560.4</v>
      </c>
      <c r="L2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773.35200000000009</v>
      </c>
      <c r="M26" s="51">
        <f ca="1">IF(Table2[[#This Row],[Outstanding Amount]]&gt;1,$F$8-Table2[[#This Row],[Date of invoice]],"")</f>
        <v>140</v>
      </c>
      <c r="N26" s="2">
        <f>CT!M19</f>
        <v>30</v>
      </c>
      <c r="O2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110</v>
      </c>
      <c r="Q26" s="2"/>
      <c r="R26" s="2"/>
      <c r="S26" s="3"/>
    </row>
    <row r="27" spans="2:19" x14ac:dyDescent="0.3">
      <c r="B27" s="1"/>
      <c r="C27" s="22">
        <f t="shared" si="2"/>
        <v>16</v>
      </c>
      <c r="D27" s="2" t="str">
        <f>PR!D21</f>
        <v>INV-2026-016</v>
      </c>
      <c r="E27" s="2" t="str">
        <f>VLOOKUP(Table2[[#This Row],[Invoice Number]],Table4[[Invoice Number]:[Payment Refence]],2)</f>
        <v>Emily Adams</v>
      </c>
      <c r="F27" s="27">
        <f>VLOOKUP(Table2[[#This Row],[Invoice Number]],Table4[[Invoice Number]:[Payment Refence]],3)</f>
        <v>46299</v>
      </c>
      <c r="G27" s="23">
        <f>VLOOKUP(Table2[[#This Row],[Invoice Number]],Table4[[Invoice Number]:[Payment Refence]],4)</f>
        <v>890</v>
      </c>
      <c r="H27" s="23" t="str">
        <f>VLOOKUP(Table2[[#This Row],[Invoice Number]],Table4[[Invoice Number]:[Payment Refence]],5)</f>
        <v>Marketing services</v>
      </c>
      <c r="I27" s="48" t="str">
        <f>VLOOKUP(Table2[[#This Row],[Invoice Number]],Table4[[Invoice Number]:[Payment Refence]],6)</f>
        <v>PAY-7016</v>
      </c>
      <c r="J27" s="53">
        <f>VLOOKUP(Table2[[#This Row],[Invoice Number]],PR!$D$6:$M$110,9)</f>
        <v>445</v>
      </c>
      <c r="K27" s="58">
        <f>CT!K20</f>
        <v>445</v>
      </c>
      <c r="L2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445</v>
      </c>
      <c r="M27" s="51">
        <f ca="1">IF(Table2[[#This Row],[Outstanding Amount]]&gt;1,$F$8-Table2[[#This Row],[Date of invoice]],"")</f>
        <v>16</v>
      </c>
      <c r="N27" s="2">
        <f>CT!M20</f>
        <v>30</v>
      </c>
      <c r="O27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7" s="2"/>
      <c r="R27" s="2"/>
      <c r="S27" s="3"/>
    </row>
    <row r="28" spans="2:19" x14ac:dyDescent="0.3">
      <c r="B28" s="1"/>
      <c r="C28" s="22">
        <f t="shared" si="2"/>
        <v>17</v>
      </c>
      <c r="D28" s="2" t="str">
        <f>PR!D22</f>
        <v>INV-2026-017</v>
      </c>
      <c r="E28" s="2" t="str">
        <f>VLOOKUP(Table2[[#This Row],[Invoice Number]],Table4[[Invoice Number]:[Payment Refence]],2)</f>
        <v>William Nelson</v>
      </c>
      <c r="F28" s="27">
        <f>VLOOKUP(Table2[[#This Row],[Invoice Number]],Table4[[Invoice Number]:[Payment Refence]],3)</f>
        <v>46301</v>
      </c>
      <c r="G28" s="23">
        <f>VLOOKUP(Table2[[#This Row],[Invoice Number]],Table4[[Invoice Number]:[Payment Refence]],4)</f>
        <v>410.5</v>
      </c>
      <c r="H28" s="23" t="str">
        <f>VLOOKUP(Table2[[#This Row],[Invoice Number]],Table4[[Invoice Number]:[Payment Refence]],5)</f>
        <v>Maintenance services</v>
      </c>
      <c r="I28" s="48" t="str">
        <f>VLOOKUP(Table2[[#This Row],[Invoice Number]],Table4[[Invoice Number]:[Payment Refence]],6)</f>
        <v>PAY-7017</v>
      </c>
      <c r="J28" s="53">
        <f>VLOOKUP(Table2[[#This Row],[Invoice Number]],PR!$D$6:$M$110,9)</f>
        <v>205.25</v>
      </c>
      <c r="K28" s="58">
        <f>CT!K21</f>
        <v>205.25</v>
      </c>
      <c r="L2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205.25</v>
      </c>
      <c r="M28" s="51">
        <f ca="1">IF(Table2[[#This Row],[Outstanding Amount]]&gt;1,$F$8-Table2[[#This Row],[Date of invoice]],"")</f>
        <v>14</v>
      </c>
      <c r="N28" s="2">
        <f>CT!M21</f>
        <v>30</v>
      </c>
      <c r="O28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8" s="2"/>
      <c r="R28" s="2"/>
      <c r="S28" s="3"/>
    </row>
    <row r="29" spans="2:19" x14ac:dyDescent="0.3">
      <c r="B29" s="1"/>
      <c r="C29" s="22">
        <f t="shared" si="2"/>
        <v>18</v>
      </c>
      <c r="D29" s="2" t="str">
        <f>PR!D23</f>
        <v>INV-2026-018</v>
      </c>
      <c r="E29" s="2" t="str">
        <f>VLOOKUP(Table2[[#This Row],[Invoice Number]],Table4[[Invoice Number]:[Payment Refence]],2)</f>
        <v>Ella Hill</v>
      </c>
      <c r="F29" s="27">
        <f>VLOOKUP(Table2[[#This Row],[Invoice Number]],Table4[[Invoice Number]:[Payment Refence]],3)</f>
        <v>46303</v>
      </c>
      <c r="G29" s="23">
        <f>VLOOKUP(Table2[[#This Row],[Invoice Number]],Table4[[Invoice Number]:[Payment Refence]],4)</f>
        <v>1675</v>
      </c>
      <c r="H29" s="23" t="str">
        <f>VLOOKUP(Table2[[#This Row],[Invoice Number]],Table4[[Invoice Number]:[Payment Refence]],5)</f>
        <v>Software licence</v>
      </c>
      <c r="I29" s="48" t="str">
        <f>VLOOKUP(Table2[[#This Row],[Invoice Number]],Table4[[Invoice Number]:[Payment Refence]],6)</f>
        <v>PAY-7018</v>
      </c>
      <c r="J29" s="53">
        <f>VLOOKUP(Table2[[#This Row],[Invoice Number]],PR!$D$6:$M$110,9)</f>
        <v>1675</v>
      </c>
      <c r="K29" s="58" t="str">
        <f>CT!K22</f>
        <v>Paid All</v>
      </c>
      <c r="L2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1675</v>
      </c>
      <c r="M29" s="51">
        <f ca="1">IF(Table2[[#This Row],[Outstanding Amount]]&gt;1,$F$8-Table2[[#This Row],[Date of invoice]],"")</f>
        <v>12</v>
      </c>
      <c r="N29" s="2">
        <f>CT!M22</f>
        <v>30</v>
      </c>
      <c r="O29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29" s="2"/>
      <c r="R29" s="2"/>
      <c r="S29" s="3"/>
    </row>
    <row r="30" spans="2:19" x14ac:dyDescent="0.3">
      <c r="B30" s="1"/>
      <c r="C30" s="22">
        <f t="shared" si="2"/>
        <v>19</v>
      </c>
      <c r="D30" s="2" t="str">
        <f>PR!D24</f>
        <v>INV-2026-019</v>
      </c>
      <c r="E30" s="2" t="str">
        <f>VLOOKUP(Table2[[#This Row],[Invoice Number]],Table4[[Invoice Number]:[Payment Refence]],2)</f>
        <v>James Lewis</v>
      </c>
      <c r="F30" s="27">
        <f>VLOOKUP(Table2[[#This Row],[Invoice Number]],Table4[[Invoice Number]:[Payment Refence]],3)</f>
        <v>46305</v>
      </c>
      <c r="G30" s="23">
        <f>VLOOKUP(Table2[[#This Row],[Invoice Number]],Table4[[Invoice Number]:[Payment Refence]],4)</f>
        <v>295</v>
      </c>
      <c r="H30" s="23" t="str">
        <f>VLOOKUP(Table2[[#This Row],[Invoice Number]],Table4[[Invoice Number]:[Payment Refence]],5)</f>
        <v>Stationery order</v>
      </c>
      <c r="I30" s="48" t="str">
        <f>VLOOKUP(Table2[[#This Row],[Invoice Number]],Table4[[Invoice Number]:[Payment Refence]],6)</f>
        <v>PAY-7019</v>
      </c>
      <c r="J30" s="53">
        <f>VLOOKUP(Table2[[#This Row],[Invoice Number]],PR!$D$6:$M$110,9)</f>
        <v>147.5</v>
      </c>
      <c r="K30" s="58">
        <f>CT!K23</f>
        <v>147.5</v>
      </c>
      <c r="L3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147.5</v>
      </c>
      <c r="M30" s="51">
        <f ca="1">IF(Table2[[#This Row],[Outstanding Amount]]&gt;1,$F$8-Table2[[#This Row],[Date of invoice]],"")</f>
        <v>10</v>
      </c>
      <c r="N30" s="2">
        <f>CT!M23</f>
        <v>30</v>
      </c>
      <c r="O30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30" s="2"/>
      <c r="R30" s="2"/>
      <c r="S30" s="3"/>
    </row>
    <row r="31" spans="2:19" x14ac:dyDescent="0.3">
      <c r="B31" s="1"/>
      <c r="C31" s="22">
        <f t="shared" si="2"/>
        <v>20</v>
      </c>
      <c r="D31" s="2" t="str">
        <f>PR!D25</f>
        <v>INV-2026-020</v>
      </c>
      <c r="E31" s="2" t="str">
        <f>VLOOKUP(Table2[[#This Row],[Invoice Number]],Table4[[Invoice Number]:[Payment Refence]],2)</f>
        <v>Freya Clark</v>
      </c>
      <c r="F31" s="27">
        <f>VLOOKUP(Table2[[#This Row],[Invoice Number]],Table4[[Invoice Number]:[Payment Refence]],3)</f>
        <v>46307</v>
      </c>
      <c r="G31" s="23">
        <f>VLOOKUP(Table2[[#This Row],[Invoice Number]],Table4[[Invoice Number]:[Payment Refence]],4)</f>
        <v>1350.25</v>
      </c>
      <c r="H31" s="23" t="str">
        <f>VLOOKUP(Table2[[#This Row],[Invoice Number]],Table4[[Invoice Number]:[Payment Refence]],5)</f>
        <v>Training services</v>
      </c>
      <c r="I31" s="48" t="str">
        <f>VLOOKUP(Table2[[#This Row],[Invoice Number]],Table4[[Invoice Number]:[Payment Refence]],6)</f>
        <v>PAY-7020</v>
      </c>
      <c r="J31" s="53">
        <f>VLOOKUP(Table2[[#This Row],[Invoice Number]],PR!$D$6:$M$110,9)</f>
        <v>675.125</v>
      </c>
      <c r="K31" s="58">
        <f>CT!K24</f>
        <v>675.125</v>
      </c>
      <c r="L3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675.125</v>
      </c>
      <c r="M31" s="51">
        <f ca="1">IF(Table2[[#This Row],[Outstanding Amount]]&gt;1,$F$8-Table2[[#This Row],[Date of invoice]],"")</f>
        <v>8</v>
      </c>
      <c r="N31" s="2">
        <f>CT!M24</f>
        <v>30</v>
      </c>
      <c r="O31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31" s="2"/>
      <c r="R31" s="2"/>
      <c r="S31" s="3"/>
    </row>
    <row r="32" spans="2:19" x14ac:dyDescent="0.3">
      <c r="B32" s="1"/>
      <c r="C32" s="22">
        <f t="shared" si="2"/>
        <v>21</v>
      </c>
      <c r="D32" s="2" t="str">
        <f>PR!D26</f>
        <v>INV-2026-021</v>
      </c>
      <c r="E32" s="2" t="str">
        <f>VLOOKUP(Table2[[#This Row],[Invoice Number]],Table4[[Invoice Number]:[Payment Refence]],2)</f>
        <v>Henry Lewis</v>
      </c>
      <c r="F32" s="27">
        <f>VLOOKUP(Table2[[#This Row],[Invoice Number]],Table4[[Invoice Number]:[Payment Refence]],3)</f>
        <v>46309</v>
      </c>
      <c r="G32" s="23">
        <f>VLOOKUP(Table2[[#This Row],[Invoice Number]],Table4[[Invoice Number]:[Payment Refence]],4)</f>
        <v>725</v>
      </c>
      <c r="H32" s="23" t="str">
        <f>VLOOKUP(Table2[[#This Row],[Invoice Number]],Table4[[Invoice Number]:[Payment Refence]],5)</f>
        <v>Office supplies</v>
      </c>
      <c r="I32" s="48" t="str">
        <f>VLOOKUP(Table2[[#This Row],[Invoice Number]],Table4[[Invoice Number]:[Payment Refence]],6)</f>
        <v>PAY-7021</v>
      </c>
      <c r="J32" s="53">
        <f>VLOOKUP(Table2[[#This Row],[Invoice Number]],PR!$D$6:$M$110,9)</f>
        <v>725</v>
      </c>
      <c r="K32" s="58" t="str">
        <f>CT!K25</f>
        <v>Paid All</v>
      </c>
      <c r="L3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725</v>
      </c>
      <c r="M32" s="51">
        <f ca="1">IF(Table2[[#This Row],[Outstanding Amount]]&gt;1,$F$8-Table2[[#This Row],[Date of invoice]],"")</f>
        <v>6</v>
      </c>
      <c r="N32" s="2">
        <f>CT!M25</f>
        <v>30</v>
      </c>
      <c r="O3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32" s="2"/>
      <c r="R32" s="2"/>
      <c r="S32" s="3"/>
    </row>
    <row r="33" spans="2:19" x14ac:dyDescent="0.3">
      <c r="B33" s="1"/>
      <c r="C33" s="22">
        <f t="shared" si="2"/>
        <v>22</v>
      </c>
      <c r="D33" s="2" t="str">
        <f>PR!D27</f>
        <v>INV-2026-022</v>
      </c>
      <c r="E33" s="2" t="str">
        <f>VLOOKUP(Table2[[#This Row],[Invoice Number]],Table4[[Invoice Number]:[Payment Refence]],2)</f>
        <v>Poppy Robinson</v>
      </c>
      <c r="F33" s="27">
        <f>VLOOKUP(Table2[[#This Row],[Invoice Number]],Table4[[Invoice Number]:[Payment Refence]],3)</f>
        <v>46311</v>
      </c>
      <c r="G33" s="23">
        <f>VLOOKUP(Table2[[#This Row],[Invoice Number]],Table4[[Invoice Number]:[Payment Refence]],4)</f>
        <v>2350.5</v>
      </c>
      <c r="H33" s="23" t="str">
        <f>VLOOKUP(Table2[[#This Row],[Invoice Number]],Table4[[Invoice Number]:[Payment Refence]],5)</f>
        <v>Consulting services</v>
      </c>
      <c r="I33" s="48" t="str">
        <f>VLOOKUP(Table2[[#This Row],[Invoice Number]],Table4[[Invoice Number]:[Payment Refence]],6)</f>
        <v>PAY-7022</v>
      </c>
      <c r="J33" s="53">
        <f>VLOOKUP(Table2[[#This Row],[Invoice Number]],PR!$D$6:$M$110,9)</f>
        <v>1175.25</v>
      </c>
      <c r="K33" s="58">
        <f>CT!K26</f>
        <v>1175.25</v>
      </c>
      <c r="L3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1175.25</v>
      </c>
      <c r="M33" s="51">
        <f ca="1">IF(Table2[[#This Row],[Outstanding Amount]]&gt;1,$F$8-Table2[[#This Row],[Date of invoice]],"")</f>
        <v>4</v>
      </c>
      <c r="N33" s="2">
        <f>CT!M26</f>
        <v>30</v>
      </c>
      <c r="O3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33" s="2"/>
      <c r="R33" s="2"/>
      <c r="S33" s="3"/>
    </row>
    <row r="34" spans="2:19" x14ac:dyDescent="0.3">
      <c r="B34" s="1"/>
      <c r="C34" s="22">
        <f t="shared" si="2"/>
        <v>23</v>
      </c>
      <c r="D34" s="2" t="str">
        <f>PR!D28</f>
        <v>INV-2026-023</v>
      </c>
      <c r="E34" s="2" t="str">
        <f>VLOOKUP(Table2[[#This Row],[Invoice Number]],Table4[[Invoice Number]:[Payment Refence]],2)</f>
        <v>Alfie Walker</v>
      </c>
      <c r="F34" s="27">
        <f>VLOOKUP(Table2[[#This Row],[Invoice Number]],Table4[[Invoice Number]:[Payment Refence]],3)</f>
        <v>46252</v>
      </c>
      <c r="G34" s="23">
        <f>VLOOKUP(Table2[[#This Row],[Invoice Number]],Table4[[Invoice Number]:[Payment Refence]],4)</f>
        <v>560</v>
      </c>
      <c r="H34" s="23" t="str">
        <f>VLOOKUP(Table2[[#This Row],[Invoice Number]],Table4[[Invoice Number]:[Payment Refence]],5)</f>
        <v>Equipment purchase</v>
      </c>
      <c r="I34" s="48" t="str">
        <f>VLOOKUP(Table2[[#This Row],[Invoice Number]],Table4[[Invoice Number]:[Payment Refence]],6)</f>
        <v>PAY-7023</v>
      </c>
      <c r="J34" s="53">
        <f>VLOOKUP(Table2[[#This Row],[Invoice Number]],PR!$D$6:$M$110,9)</f>
        <v>580</v>
      </c>
      <c r="K34" s="58">
        <f>CT!K27</f>
        <v>-20</v>
      </c>
      <c r="L34" s="58">
        <f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580</v>
      </c>
      <c r="M34" s="51" t="str">
        <f>IF(Table2[[#This Row],[Outstanding Amount]]&gt;1,$F$8-Table2[[#This Row],[Date of invoice]],"")</f>
        <v/>
      </c>
      <c r="N34" s="2">
        <f>CT!M27</f>
        <v>30</v>
      </c>
      <c r="O34" s="51" t="str">
        <f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34" s="2"/>
      <c r="R34" s="2"/>
      <c r="S34" s="3"/>
    </row>
    <row r="35" spans="2:19" x14ac:dyDescent="0.3">
      <c r="B35" s="1"/>
      <c r="C35" s="22">
        <f t="shared" ref="C35:C66" si="3">C34+1</f>
        <v>24</v>
      </c>
      <c r="D35" s="2" t="str">
        <f>PR!D29</f>
        <v>INV-2026-024</v>
      </c>
      <c r="E35" s="2" t="str">
        <f>VLOOKUP(Table2[[#This Row],[Invoice Number]],Table4[[Invoice Number]:[Payment Refence]],2)</f>
        <v>Evie Hall</v>
      </c>
      <c r="F35" s="27">
        <f>VLOOKUP(Table2[[#This Row],[Invoice Number]],Table4[[Invoice Number]:[Payment Refence]],3)</f>
        <v>46256</v>
      </c>
      <c r="G35" s="23">
        <f>VLOOKUP(Table2[[#This Row],[Invoice Number]],Table4[[Invoice Number]:[Payment Refence]],4)</f>
        <v>1025.75</v>
      </c>
      <c r="H35" s="23" t="str">
        <f>VLOOKUP(Table2[[#This Row],[Invoice Number]],Table4[[Invoice Number]:[Payment Refence]],5)</f>
        <v>Monthly subscription</v>
      </c>
      <c r="I35" s="48" t="str">
        <f>VLOOKUP(Table2[[#This Row],[Invoice Number]],Table4[[Invoice Number]:[Payment Refence]],6)</f>
        <v>PAY-7024</v>
      </c>
      <c r="J35" s="53">
        <f>VLOOKUP(Table2[[#This Row],[Invoice Number]],PR!$D$6:$M$110,9)</f>
        <v>512.875</v>
      </c>
      <c r="K35" s="58">
        <f>CT!K28</f>
        <v>512.875</v>
      </c>
      <c r="L3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584.67750000000001</v>
      </c>
      <c r="M35" s="51">
        <f ca="1">IF(Table2[[#This Row],[Outstanding Amount]]&gt;1,$F$8-Table2[[#This Row],[Date of invoice]],"")</f>
        <v>59</v>
      </c>
      <c r="N35" s="2">
        <f>CT!M28</f>
        <v>30</v>
      </c>
      <c r="O3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29</v>
      </c>
      <c r="Q35" s="2"/>
      <c r="R35" s="2"/>
      <c r="S35" s="3"/>
    </row>
    <row r="36" spans="2:19" x14ac:dyDescent="0.3">
      <c r="B36" s="1"/>
      <c r="C36" s="22">
        <f t="shared" si="3"/>
        <v>25</v>
      </c>
      <c r="D36" s="2" t="str">
        <f>PR!D30</f>
        <v>INV-2026-025</v>
      </c>
      <c r="E36" s="2" t="str">
        <f>VLOOKUP(Table2[[#This Row],[Invoice Number]],Table4[[Invoice Number]:[Payment Refence]],2)</f>
        <v>Leo Young</v>
      </c>
      <c r="F36" s="27">
        <f>VLOOKUP(Table2[[#This Row],[Invoice Number]],Table4[[Invoice Number]:[Payment Refence]],3)</f>
        <v>46262</v>
      </c>
      <c r="G36" s="23">
        <f>VLOOKUP(Table2[[#This Row],[Invoice Number]],Table4[[Invoice Number]:[Payment Refence]],4)</f>
        <v>440</v>
      </c>
      <c r="H36" s="23" t="str">
        <f>VLOOKUP(Table2[[#This Row],[Invoice Number]],Table4[[Invoice Number]:[Payment Refence]],5)</f>
        <v>Project delivery</v>
      </c>
      <c r="I36" s="48" t="str">
        <f>VLOOKUP(Table2[[#This Row],[Invoice Number]],Table4[[Invoice Number]:[Payment Refence]],6)</f>
        <v>PAY-7025</v>
      </c>
      <c r="J36" s="53">
        <f>VLOOKUP(Table2[[#This Row],[Invoice Number]],PR!$D$6:$M$110,9)</f>
        <v>220</v>
      </c>
      <c r="K36" s="58">
        <f>CT!K29</f>
        <v>220</v>
      </c>
      <c r="L3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244.2</v>
      </c>
      <c r="M36" s="51">
        <f ca="1">IF(Table2[[#This Row],[Outstanding Amount]]&gt;1,$F$8-Table2[[#This Row],[Date of invoice]],"")</f>
        <v>53</v>
      </c>
      <c r="N36" s="2">
        <f>CT!M29</f>
        <v>30</v>
      </c>
      <c r="O3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23</v>
      </c>
      <c r="Q36" s="2"/>
      <c r="R36" s="2"/>
      <c r="S36" s="3"/>
    </row>
    <row r="37" spans="2:19" x14ac:dyDescent="0.3">
      <c r="B37" s="1"/>
      <c r="C37" s="22">
        <f t="shared" si="3"/>
        <v>26</v>
      </c>
      <c r="D37" s="2" t="str">
        <f>PR!D31</f>
        <v>INV-2026-026</v>
      </c>
      <c r="E37" s="2" t="str">
        <f>VLOOKUP(Table2[[#This Row],[Invoice Number]],Table4[[Invoice Number]:[Payment Refence]],2)</f>
        <v>Florence King</v>
      </c>
      <c r="F37" s="27">
        <f>VLOOKUP(Table2[[#This Row],[Invoice Number]],Table4[[Invoice Number]:[Payment Refence]],3)</f>
        <v>46268</v>
      </c>
      <c r="G37" s="23">
        <f>VLOOKUP(Table2[[#This Row],[Invoice Number]],Table4[[Invoice Number]:[Payment Refence]],4)</f>
        <v>1780</v>
      </c>
      <c r="H37" s="23" t="str">
        <f>VLOOKUP(Table2[[#This Row],[Invoice Number]],Table4[[Invoice Number]:[Payment Refence]],5)</f>
        <v>Marketing services</v>
      </c>
      <c r="I37" s="48" t="str">
        <f>VLOOKUP(Table2[[#This Row],[Invoice Number]],Table4[[Invoice Number]:[Payment Refence]],6)</f>
        <v>PAY-7026</v>
      </c>
      <c r="J37" s="53">
        <f>VLOOKUP(Table2[[#This Row],[Invoice Number]],PR!$D$6:$M$110,9)</f>
        <v>890</v>
      </c>
      <c r="K37" s="58">
        <f>CT!K30</f>
        <v>890</v>
      </c>
      <c r="L3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961.2</v>
      </c>
      <c r="M37" s="51">
        <f ca="1">IF(Table2[[#This Row],[Outstanding Amount]]&gt;1,$F$8-Table2[[#This Row],[Date of invoice]],"")</f>
        <v>47</v>
      </c>
      <c r="N37" s="2">
        <f>CT!M30</f>
        <v>30</v>
      </c>
      <c r="O3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17</v>
      </c>
      <c r="Q37" s="2"/>
      <c r="R37" s="2"/>
      <c r="S37" s="3"/>
    </row>
    <row r="38" spans="2:19" x14ac:dyDescent="0.3">
      <c r="B38" s="1"/>
      <c r="C38" s="22">
        <f t="shared" si="3"/>
        <v>27</v>
      </c>
      <c r="D38" s="2" t="str">
        <f>PR!D32</f>
        <v>INV-2026-027</v>
      </c>
      <c r="E38" s="2" t="str">
        <f>VLOOKUP(Table2[[#This Row],[Invoice Number]],Table4[[Invoice Number]:[Payment Refence]],2)</f>
        <v>Archie Wright</v>
      </c>
      <c r="F38" s="27">
        <f>VLOOKUP(Table2[[#This Row],[Invoice Number]],Table4[[Invoice Number]:[Payment Refence]],3)</f>
        <v>46272</v>
      </c>
      <c r="G38" s="23">
        <f>VLOOKUP(Table2[[#This Row],[Invoice Number]],Table4[[Invoice Number]:[Payment Refence]],4)</f>
        <v>315.25</v>
      </c>
      <c r="H38" s="23" t="str">
        <f>VLOOKUP(Table2[[#This Row],[Invoice Number]],Table4[[Invoice Number]:[Payment Refence]],5)</f>
        <v>Maintenance services</v>
      </c>
      <c r="I38" s="48" t="str">
        <f>VLOOKUP(Table2[[#This Row],[Invoice Number]],Table4[[Invoice Number]:[Payment Refence]],6)</f>
        <v>PAY-7027</v>
      </c>
      <c r="J38" s="53">
        <f>VLOOKUP(Table2[[#This Row],[Invoice Number]],PR!$D$6:$M$110,9)</f>
        <v>157.625</v>
      </c>
      <c r="K38" s="58">
        <f>CT!K31</f>
        <v>157.625</v>
      </c>
      <c r="L3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165.50624999999999</v>
      </c>
      <c r="M38" s="51">
        <f ca="1">IF(Table2[[#This Row],[Outstanding Amount]]&gt;1,$F$8-Table2[[#This Row],[Date of invoice]],"")</f>
        <v>43</v>
      </c>
      <c r="N38" s="2">
        <f>CT!M31</f>
        <v>30</v>
      </c>
      <c r="O3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13</v>
      </c>
      <c r="Q38" s="2"/>
      <c r="R38" s="2"/>
      <c r="S38" s="3"/>
    </row>
    <row r="39" spans="2:19" x14ac:dyDescent="0.3">
      <c r="B39" s="1"/>
      <c r="C39" s="22">
        <f t="shared" si="3"/>
        <v>28</v>
      </c>
      <c r="D39" s="2" t="str">
        <f>PR!D33</f>
        <v>INV-2026-028</v>
      </c>
      <c r="E39" s="2" t="str">
        <f>VLOOKUP(Table2[[#This Row],[Invoice Number]],Table4[[Invoice Number]:[Payment Refence]],2)</f>
        <v>Ivy Scott</v>
      </c>
      <c r="F39" s="27">
        <f>VLOOKUP(Table2[[#This Row],[Invoice Number]],Table4[[Invoice Number]:[Payment Refence]],3)</f>
        <v>46276</v>
      </c>
      <c r="G39" s="23">
        <f>VLOOKUP(Table2[[#This Row],[Invoice Number]],Table4[[Invoice Number]:[Payment Refence]],4)</f>
        <v>940</v>
      </c>
      <c r="H39" s="23" t="str">
        <f>VLOOKUP(Table2[[#This Row],[Invoice Number]],Table4[[Invoice Number]:[Payment Refence]],5)</f>
        <v>Software licence</v>
      </c>
      <c r="I39" s="48" t="str">
        <f>VLOOKUP(Table2[[#This Row],[Invoice Number]],Table4[[Invoice Number]:[Payment Refence]],6)</f>
        <v>PAY-7028</v>
      </c>
      <c r="J39" s="53">
        <f>VLOOKUP(Table2[[#This Row],[Invoice Number]],PR!$D$6:$M$110,9)</f>
        <v>470</v>
      </c>
      <c r="K39" s="58">
        <f>CT!K32</f>
        <v>470</v>
      </c>
      <c r="L3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479.4</v>
      </c>
      <c r="M39" s="51">
        <f ca="1">IF(Table2[[#This Row],[Outstanding Amount]]&gt;1,$F$8-Table2[[#This Row],[Date of invoice]],"")</f>
        <v>39</v>
      </c>
      <c r="N39" s="2">
        <f>CT!M32</f>
        <v>30</v>
      </c>
      <c r="O3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9</v>
      </c>
      <c r="Q39" s="2"/>
      <c r="R39" s="2"/>
      <c r="S39" s="3"/>
    </row>
    <row r="40" spans="2:19" x14ac:dyDescent="0.3">
      <c r="B40" s="1"/>
      <c r="C40" s="22">
        <f t="shared" si="3"/>
        <v>29</v>
      </c>
      <c r="D40" s="2" t="str">
        <f>PR!D34</f>
        <v>INV-2026-029</v>
      </c>
      <c r="E40" s="2" t="str">
        <f>VLOOKUP(Table2[[#This Row],[Invoice Number]],Table4[[Invoice Number]:[Payment Refence]],2)</f>
        <v>Freddie Green</v>
      </c>
      <c r="F40" s="27">
        <f>VLOOKUP(Table2[[#This Row],[Invoice Number]],Table4[[Invoice Number]:[Payment Refence]],3)</f>
        <v>46279</v>
      </c>
      <c r="G40" s="23">
        <f>VLOOKUP(Table2[[#This Row],[Invoice Number]],Table4[[Invoice Number]:[Payment Refence]],4)</f>
        <v>2450</v>
      </c>
      <c r="H40" s="23" t="str">
        <f>VLOOKUP(Table2[[#This Row],[Invoice Number]],Table4[[Invoice Number]:[Payment Refence]],5)</f>
        <v>Stationery order</v>
      </c>
      <c r="I40" s="48" t="str">
        <f>VLOOKUP(Table2[[#This Row],[Invoice Number]],Table4[[Invoice Number]:[Payment Refence]],6)</f>
        <v>PAY-7029</v>
      </c>
      <c r="J40" s="53">
        <f>VLOOKUP(Table2[[#This Row],[Invoice Number]],PR!$D$6:$M$110,9)</f>
        <v>1225</v>
      </c>
      <c r="K40" s="58">
        <f>CT!K33</f>
        <v>1225</v>
      </c>
      <c r="L4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1249.5</v>
      </c>
      <c r="M40" s="51">
        <f ca="1">IF(Table2[[#This Row],[Outstanding Amount]]&gt;1,$F$8-Table2[[#This Row],[Date of invoice]],"")</f>
        <v>36</v>
      </c>
      <c r="N40" s="2">
        <f>CT!M33</f>
        <v>30</v>
      </c>
      <c r="O40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6</v>
      </c>
      <c r="Q40" s="2"/>
      <c r="R40" s="2"/>
      <c r="S40" s="3"/>
    </row>
    <row r="41" spans="2:19" x14ac:dyDescent="0.3">
      <c r="B41" s="1"/>
      <c r="C41" s="22">
        <f t="shared" si="3"/>
        <v>30</v>
      </c>
      <c r="D41" s="2" t="str">
        <f>PR!D35</f>
        <v>INV-2026-030</v>
      </c>
      <c r="E41" s="2" t="str">
        <f>VLOOKUP(Table2[[#This Row],[Invoice Number]],Table4[[Invoice Number]:[Payment Refence]],2)</f>
        <v>Elsie Baker</v>
      </c>
      <c r="F41" s="27">
        <f>VLOOKUP(Table2[[#This Row],[Invoice Number]],Table4[[Invoice Number]:[Payment Refence]],3)</f>
        <v>46282</v>
      </c>
      <c r="G41" s="23">
        <f>VLOOKUP(Table2[[#This Row],[Invoice Number]],Table4[[Invoice Number]:[Payment Refence]],4)</f>
        <v>685.5</v>
      </c>
      <c r="H41" s="23" t="str">
        <f>VLOOKUP(Table2[[#This Row],[Invoice Number]],Table4[[Invoice Number]:[Payment Refence]],5)</f>
        <v>Training services</v>
      </c>
      <c r="I41" s="48" t="str">
        <f>VLOOKUP(Table2[[#This Row],[Invoice Number]],Table4[[Invoice Number]:[Payment Refence]],6)</f>
        <v>PAY-7030</v>
      </c>
      <c r="J41" s="53">
        <f>VLOOKUP(Table2[[#This Row],[Invoice Number]],PR!$D$6:$M$110,9)</f>
        <v>685</v>
      </c>
      <c r="K41" s="58">
        <f>CT!K34</f>
        <v>0.5</v>
      </c>
      <c r="L41" s="58">
        <f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685</v>
      </c>
      <c r="M41" s="51" t="str">
        <f>IF(Table2[[#This Row],[Outstanding Amount]]&gt;1,$F$8-Table2[[#This Row],[Date of invoice]],"")</f>
        <v/>
      </c>
      <c r="N41" s="2">
        <f>CT!M34</f>
        <v>30</v>
      </c>
      <c r="O41" s="51" t="str">
        <f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1" s="2"/>
      <c r="R41" s="2"/>
      <c r="S41" s="3"/>
    </row>
    <row r="42" spans="2:19" x14ac:dyDescent="0.3">
      <c r="B42" s="1"/>
      <c r="C42" s="22">
        <f t="shared" si="3"/>
        <v>31</v>
      </c>
      <c r="D42" s="2" t="str">
        <f>PR!D36</f>
        <v>INV-2026-031</v>
      </c>
      <c r="E42" s="2" t="str">
        <f>VLOOKUP(Table2[[#This Row],[Invoice Number]],Table4[[Invoice Number]:[Payment Refence]],2)</f>
        <v>Ethan Adams</v>
      </c>
      <c r="F42" s="27">
        <f>VLOOKUP(Table2[[#This Row],[Invoice Number]],Table4[[Invoice Number]:[Payment Refence]],3)</f>
        <v>46286</v>
      </c>
      <c r="G42" s="23">
        <f>VLOOKUP(Table2[[#This Row],[Invoice Number]],Table4[[Invoice Number]:[Payment Refence]],4)</f>
        <v>1150</v>
      </c>
      <c r="H42" s="23" t="str">
        <f>VLOOKUP(Table2[[#This Row],[Invoice Number]],Table4[[Invoice Number]:[Payment Refence]],5)</f>
        <v>Office supplies</v>
      </c>
      <c r="I42" s="48" t="str">
        <f>VLOOKUP(Table2[[#This Row],[Invoice Number]],Table4[[Invoice Number]:[Payment Refence]],6)</f>
        <v>PAY-7031</v>
      </c>
      <c r="J42" s="53">
        <f>VLOOKUP(Table2[[#This Row],[Invoice Number]],PR!$D$6:$M$110,9)</f>
        <v>575</v>
      </c>
      <c r="K42" s="58">
        <f>CT!K35</f>
        <v>575</v>
      </c>
      <c r="L4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575</v>
      </c>
      <c r="M42" s="51">
        <f ca="1">IF(Table2[[#This Row],[Outstanding Amount]]&gt;1,$F$8-Table2[[#This Row],[Date of invoice]],"")</f>
        <v>29</v>
      </c>
      <c r="N42" s="2">
        <f>CT!M35</f>
        <v>30</v>
      </c>
      <c r="O4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2" s="2"/>
      <c r="R42" s="2"/>
      <c r="S42" s="3"/>
    </row>
    <row r="43" spans="2:19" x14ac:dyDescent="0.3">
      <c r="B43" s="1"/>
      <c r="C43" s="22">
        <f t="shared" si="3"/>
        <v>32</v>
      </c>
      <c r="D43" s="2" t="str">
        <f>PR!D37</f>
        <v>INV-2026-032</v>
      </c>
      <c r="E43" s="2" t="str">
        <f>VLOOKUP(Table2[[#This Row],[Invoice Number]],Table4[[Invoice Number]:[Payment Refence]],2)</f>
        <v>Ruby Nelson</v>
      </c>
      <c r="F43" s="27">
        <f>VLOOKUP(Table2[[#This Row],[Invoice Number]],Table4[[Invoice Number]:[Payment Refence]],3)</f>
        <v>46289</v>
      </c>
      <c r="G43" s="23">
        <f>VLOOKUP(Table2[[#This Row],[Invoice Number]],Table4[[Invoice Number]:[Payment Refence]],4)</f>
        <v>395.75</v>
      </c>
      <c r="H43" s="23" t="str">
        <f>VLOOKUP(Table2[[#This Row],[Invoice Number]],Table4[[Invoice Number]:[Payment Refence]],5)</f>
        <v>Consulting services</v>
      </c>
      <c r="I43" s="48" t="str">
        <f>VLOOKUP(Table2[[#This Row],[Invoice Number]],Table4[[Invoice Number]:[Payment Refence]],6)</f>
        <v>PAY-7032</v>
      </c>
      <c r="J43" s="53">
        <f>VLOOKUP(Table2[[#This Row],[Invoice Number]],PR!$D$6:$M$110,9)</f>
        <v>197.875</v>
      </c>
      <c r="K43" s="58">
        <f>CT!K36</f>
        <v>197.875</v>
      </c>
      <c r="L4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197.875</v>
      </c>
      <c r="M43" s="51">
        <f ca="1">IF(Table2[[#This Row],[Outstanding Amount]]&gt;1,$F$8-Table2[[#This Row],[Date of invoice]],"")</f>
        <v>26</v>
      </c>
      <c r="N43" s="2">
        <f>CT!M36</f>
        <v>30</v>
      </c>
      <c r="O4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3" s="2"/>
      <c r="R43" s="2"/>
      <c r="S43" s="3"/>
    </row>
    <row r="44" spans="2:19" x14ac:dyDescent="0.3">
      <c r="B44" s="1"/>
      <c r="C44" s="22">
        <f t="shared" si="3"/>
        <v>33</v>
      </c>
      <c r="D44" s="2" t="str">
        <f>PR!D38</f>
        <v>INV-2026-033</v>
      </c>
      <c r="E44" s="2" t="str">
        <f>VLOOKUP(Table2[[#This Row],[Invoice Number]],Table4[[Invoice Number]:[Payment Refence]],2)</f>
        <v>Lucas Hill</v>
      </c>
      <c r="F44" s="27">
        <f>VLOOKUP(Table2[[#This Row],[Invoice Number]],Table4[[Invoice Number]:[Payment Refence]],3)</f>
        <v>46292</v>
      </c>
      <c r="G44" s="23">
        <f>VLOOKUP(Table2[[#This Row],[Invoice Number]],Table4[[Invoice Number]:[Payment Refence]],4)</f>
        <v>2850</v>
      </c>
      <c r="H44" s="23" t="str">
        <f>VLOOKUP(Table2[[#This Row],[Invoice Number]],Table4[[Invoice Number]:[Payment Refence]],5)</f>
        <v>Equipment purchase</v>
      </c>
      <c r="I44" s="48" t="str">
        <f>VLOOKUP(Table2[[#This Row],[Invoice Number]],Table4[[Invoice Number]:[Payment Refence]],6)</f>
        <v>PAY-7033</v>
      </c>
      <c r="J44" s="53">
        <f>VLOOKUP(Table2[[#This Row],[Invoice Number]],PR!$D$6:$M$110,9)</f>
        <v>1425</v>
      </c>
      <c r="K44" s="58">
        <f>CT!K37</f>
        <v>1425</v>
      </c>
      <c r="L4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1425</v>
      </c>
      <c r="M44" s="51">
        <f ca="1">IF(Table2[[#This Row],[Outstanding Amount]]&gt;1,$F$8-Table2[[#This Row],[Date of invoice]],"")</f>
        <v>23</v>
      </c>
      <c r="N44" s="2">
        <f>CT!M37</f>
        <v>30</v>
      </c>
      <c r="O4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4" s="2"/>
      <c r="R44" s="2"/>
      <c r="S44" s="3"/>
    </row>
    <row r="45" spans="2:19" x14ac:dyDescent="0.3">
      <c r="B45" s="1"/>
      <c r="C45" s="22">
        <f t="shared" si="3"/>
        <v>34</v>
      </c>
      <c r="D45" s="2" t="str">
        <f>PR!D39</f>
        <v>INV-2026-034</v>
      </c>
      <c r="E45" s="2" t="str">
        <f>VLOOKUP(Table2[[#This Row],[Invoice Number]],Table4[[Invoice Number]:[Payment Refence]],2)</f>
        <v>Daisy Lewis</v>
      </c>
      <c r="F45" s="27">
        <f>VLOOKUP(Table2[[#This Row],[Invoice Number]],Table4[[Invoice Number]:[Payment Refence]],3)</f>
        <v>46294</v>
      </c>
      <c r="G45" s="23">
        <f>VLOOKUP(Table2[[#This Row],[Invoice Number]],Table4[[Invoice Number]:[Payment Refence]],4)</f>
        <v>760</v>
      </c>
      <c r="H45" s="23" t="str">
        <f>VLOOKUP(Table2[[#This Row],[Invoice Number]],Table4[[Invoice Number]:[Payment Refence]],5)</f>
        <v>Monthly subscription</v>
      </c>
      <c r="I45" s="48" t="str">
        <f>VLOOKUP(Table2[[#This Row],[Invoice Number]],Table4[[Invoice Number]:[Payment Refence]],6)</f>
        <v>PAY-7034</v>
      </c>
      <c r="J45" s="53">
        <f>VLOOKUP(Table2[[#This Row],[Invoice Number]],PR!$D$6:$M$110,9)</f>
        <v>380</v>
      </c>
      <c r="K45" s="58">
        <f>CT!K38</f>
        <v>380</v>
      </c>
      <c r="L4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380</v>
      </c>
      <c r="M45" s="51">
        <f ca="1">IF(Table2[[#This Row],[Outstanding Amount]]&gt;1,$F$8-Table2[[#This Row],[Date of invoice]],"")</f>
        <v>21</v>
      </c>
      <c r="N45" s="2">
        <f>CT!M38</f>
        <v>30</v>
      </c>
      <c r="O45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5" s="2"/>
      <c r="R45" s="2"/>
      <c r="S45" s="3"/>
    </row>
    <row r="46" spans="2:19" x14ac:dyDescent="0.3">
      <c r="B46" s="1"/>
      <c r="C46" s="22">
        <f t="shared" si="3"/>
        <v>35</v>
      </c>
      <c r="D46" s="2" t="str">
        <f>PR!D40</f>
        <v>INV-2026-035</v>
      </c>
      <c r="E46" s="2" t="str">
        <f>VLOOKUP(Table2[[#This Row],[Invoice Number]],Table4[[Invoice Number]:[Payment Refence]],2)</f>
        <v>Finley Clark</v>
      </c>
      <c r="F46" s="27">
        <f>VLOOKUP(Table2[[#This Row],[Invoice Number]],Table4[[Invoice Number]:[Payment Refence]],3)</f>
        <v>46296</v>
      </c>
      <c r="G46" s="23">
        <f>VLOOKUP(Table2[[#This Row],[Invoice Number]],Table4[[Invoice Number]:[Payment Refence]],4)</f>
        <v>1425.5</v>
      </c>
      <c r="H46" s="23" t="str">
        <f>VLOOKUP(Table2[[#This Row],[Invoice Number]],Table4[[Invoice Number]:[Payment Refence]],5)</f>
        <v>Project delivery</v>
      </c>
      <c r="I46" s="48" t="str">
        <f>VLOOKUP(Table2[[#This Row],[Invoice Number]],Table4[[Invoice Number]:[Payment Refence]],6)</f>
        <v>PAY-7035</v>
      </c>
      <c r="J46" s="53">
        <f>VLOOKUP(Table2[[#This Row],[Invoice Number]],PR!$D$6:$M$110,9)</f>
        <v>712.75</v>
      </c>
      <c r="K46" s="58">
        <f>CT!K39</f>
        <v>712.75</v>
      </c>
      <c r="L4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712.75</v>
      </c>
      <c r="M46" s="51">
        <f ca="1">IF(Table2[[#This Row],[Outstanding Amount]]&gt;1,$F$8-Table2[[#This Row],[Date of invoice]],"")</f>
        <v>19</v>
      </c>
      <c r="N46" s="2">
        <f>CT!M39</f>
        <v>30</v>
      </c>
      <c r="O46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6" s="2"/>
      <c r="R46" s="2"/>
      <c r="S46" s="3"/>
    </row>
    <row r="47" spans="2:19" x14ac:dyDescent="0.3">
      <c r="B47" s="1"/>
      <c r="C47" s="22">
        <f t="shared" si="3"/>
        <v>36</v>
      </c>
      <c r="D47" s="2" t="str">
        <f>PR!D41</f>
        <v>INV-2026-036</v>
      </c>
      <c r="E47" s="2" t="str">
        <f>VLOOKUP(Table2[[#This Row],[Invoice Number]],Table4[[Invoice Number]:[Payment Refence]],2)</f>
        <v>Chloe Mitchell</v>
      </c>
      <c r="F47" s="27">
        <f>VLOOKUP(Table2[[#This Row],[Invoice Number]],Table4[[Invoice Number]:[Payment Refence]],3)</f>
        <v>46298</v>
      </c>
      <c r="G47" s="23">
        <f>VLOOKUP(Table2[[#This Row],[Invoice Number]],Table4[[Invoice Number]:[Payment Refence]],4)</f>
        <v>530</v>
      </c>
      <c r="H47" s="23" t="str">
        <f>VLOOKUP(Table2[[#This Row],[Invoice Number]],Table4[[Invoice Number]:[Payment Refence]],5)</f>
        <v>Marketing services</v>
      </c>
      <c r="I47" s="48" t="str">
        <f>VLOOKUP(Table2[[#This Row],[Invoice Number]],Table4[[Invoice Number]:[Payment Refence]],6)</f>
        <v>PAY-7036</v>
      </c>
      <c r="J47" s="53">
        <f>VLOOKUP(Table2[[#This Row],[Invoice Number]],PR!$D$6:$M$110,9)</f>
        <v>560</v>
      </c>
      <c r="K47" s="58">
        <f>CT!K40</f>
        <v>-30</v>
      </c>
      <c r="L47" s="58">
        <f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560</v>
      </c>
      <c r="M47" s="51" t="str">
        <f>IF(Table2[[#This Row],[Outstanding Amount]]&gt;1,$F$8-Table2[[#This Row],[Date of invoice]],"")</f>
        <v/>
      </c>
      <c r="N47" s="2">
        <f>CT!M40</f>
        <v>30</v>
      </c>
      <c r="O47" s="51" t="str">
        <f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7" s="2"/>
      <c r="R47" s="2"/>
      <c r="S47" s="3"/>
    </row>
    <row r="48" spans="2:19" x14ac:dyDescent="0.3">
      <c r="B48" s="1"/>
      <c r="C48" s="22">
        <f t="shared" si="3"/>
        <v>37</v>
      </c>
      <c r="D48" s="2" t="str">
        <f>PR!D42</f>
        <v>INV-2026-037</v>
      </c>
      <c r="E48" s="2" t="str">
        <f>VLOOKUP(Table2[[#This Row],[Invoice Number]],Table4[[Invoice Number]:[Payment Refence]],2)</f>
        <v>Mason Thompson</v>
      </c>
      <c r="F48" s="27">
        <f>VLOOKUP(Table2[[#This Row],[Invoice Number]],Table4[[Invoice Number]:[Payment Refence]],3)</f>
        <v>46300</v>
      </c>
      <c r="G48" s="23">
        <f>VLOOKUP(Table2[[#This Row],[Invoice Number]],Table4[[Invoice Number]:[Payment Refence]],4)</f>
        <v>975.25</v>
      </c>
      <c r="H48" s="23" t="str">
        <f>VLOOKUP(Table2[[#This Row],[Invoice Number]],Table4[[Invoice Number]:[Payment Refence]],5)</f>
        <v>Maintenance services</v>
      </c>
      <c r="I48" s="48" t="str">
        <f>VLOOKUP(Table2[[#This Row],[Invoice Number]],Table4[[Invoice Number]:[Payment Refence]],6)</f>
        <v>PAY-7037</v>
      </c>
      <c r="J48" s="53">
        <f>VLOOKUP(Table2[[#This Row],[Invoice Number]],PR!$D$6:$M$110,9)</f>
        <v>487.625</v>
      </c>
      <c r="K48" s="58">
        <f>CT!K41</f>
        <v>487.625</v>
      </c>
      <c r="L4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487.625</v>
      </c>
      <c r="M48" s="51">
        <f ca="1">IF(Table2[[#This Row],[Outstanding Amount]]&gt;1,$F$8-Table2[[#This Row],[Date of invoice]],"")</f>
        <v>15</v>
      </c>
      <c r="N48" s="2">
        <f>CT!M41</f>
        <v>30</v>
      </c>
      <c r="O48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8" s="2"/>
      <c r="R48" s="2"/>
      <c r="S48" s="3"/>
    </row>
    <row r="49" spans="2:19" x14ac:dyDescent="0.3">
      <c r="B49" s="1"/>
      <c r="C49" s="22">
        <f t="shared" si="3"/>
        <v>38</v>
      </c>
      <c r="D49" s="2" t="str">
        <f>PR!D43</f>
        <v>INV-2026-038</v>
      </c>
      <c r="E49" s="2" t="str">
        <f>VLOOKUP(Table2[[#This Row],[Invoice Number]],Table4[[Invoice Number]:[Payment Refence]],2)</f>
        <v>Sophie Wilson</v>
      </c>
      <c r="F49" s="27">
        <f>VLOOKUP(Table2[[#This Row],[Invoice Number]],Table4[[Invoice Number]:[Payment Refence]],3)</f>
        <v>46302</v>
      </c>
      <c r="G49" s="23">
        <f>VLOOKUP(Table2[[#This Row],[Invoice Number]],Table4[[Invoice Number]:[Payment Refence]],4)</f>
        <v>1850</v>
      </c>
      <c r="H49" s="23" t="str">
        <f>VLOOKUP(Table2[[#This Row],[Invoice Number]],Table4[[Invoice Number]:[Payment Refence]],5)</f>
        <v>Software licence</v>
      </c>
      <c r="I49" s="48" t="str">
        <f>VLOOKUP(Table2[[#This Row],[Invoice Number]],Table4[[Invoice Number]:[Payment Refence]],6)</f>
        <v>PAY-7038</v>
      </c>
      <c r="J49" s="53">
        <f>VLOOKUP(Table2[[#This Row],[Invoice Number]],PR!$D$6:$M$110,9)</f>
        <v>925</v>
      </c>
      <c r="K49" s="58">
        <f>CT!K42</f>
        <v>925</v>
      </c>
      <c r="L4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925</v>
      </c>
      <c r="M49" s="51">
        <f ca="1">IF(Table2[[#This Row],[Outstanding Amount]]&gt;1,$F$8-Table2[[#This Row],[Date of invoice]],"")</f>
        <v>13</v>
      </c>
      <c r="N49" s="2">
        <f>CT!M42</f>
        <v>30</v>
      </c>
      <c r="O49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49" s="2"/>
      <c r="R49" s="2"/>
      <c r="S49" s="3"/>
    </row>
    <row r="50" spans="2:19" x14ac:dyDescent="0.3">
      <c r="B50" s="1"/>
      <c r="C50" s="22">
        <f t="shared" si="3"/>
        <v>39</v>
      </c>
      <c r="D50" s="2" t="str">
        <f>PR!D44</f>
        <v>INV-2026-039</v>
      </c>
      <c r="E50" s="2" t="str">
        <f>VLOOKUP(Table2[[#This Row],[Invoice Number]],Table4[[Invoice Number]:[Payment Refence]],2)</f>
        <v>Teddy Carter</v>
      </c>
      <c r="F50" s="27">
        <f>VLOOKUP(Table2[[#This Row],[Invoice Number]],Table4[[Invoice Number]:[Payment Refence]],3)</f>
        <v>46304</v>
      </c>
      <c r="G50" s="23">
        <f>VLOOKUP(Table2[[#This Row],[Invoice Number]],Table4[[Invoice Number]:[Payment Refence]],4)</f>
        <v>280</v>
      </c>
      <c r="H50" s="23" t="str">
        <f>VLOOKUP(Table2[[#This Row],[Invoice Number]],Table4[[Invoice Number]:[Payment Refence]],5)</f>
        <v>Stationery order</v>
      </c>
      <c r="I50" s="48" t="str">
        <f>VLOOKUP(Table2[[#This Row],[Invoice Number]],Table4[[Invoice Number]:[Payment Refence]],6)</f>
        <v>PAY-7039</v>
      </c>
      <c r="J50" s="53">
        <f>VLOOKUP(Table2[[#This Row],[Invoice Number]],PR!$D$6:$M$110,9)</f>
        <v>140</v>
      </c>
      <c r="K50" s="58">
        <f>CT!K43</f>
        <v>140</v>
      </c>
      <c r="L5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140</v>
      </c>
      <c r="M50" s="51">
        <f ca="1">IF(Table2[[#This Row],[Outstanding Amount]]&gt;1,$F$8-Table2[[#This Row],[Date of invoice]],"")</f>
        <v>11</v>
      </c>
      <c r="N50" s="2">
        <f>CT!M43</f>
        <v>30</v>
      </c>
      <c r="O50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50" s="2"/>
      <c r="R50" s="2"/>
      <c r="S50" s="3"/>
    </row>
    <row r="51" spans="2:19" x14ac:dyDescent="0.3">
      <c r="B51" s="1"/>
      <c r="C51" s="22">
        <f t="shared" si="3"/>
        <v>40</v>
      </c>
      <c r="D51" s="2" t="str">
        <f>PR!D45</f>
        <v>INV-2026-040</v>
      </c>
      <c r="E51" s="2" t="str">
        <f>VLOOKUP(Table2[[#This Row],[Invoice Number]],Table4[[Invoice Number]:[Payment Refence]],2)</f>
        <v>Millie Bennett</v>
      </c>
      <c r="F51" s="27">
        <f>VLOOKUP(Table2[[#This Row],[Invoice Number]],Table4[[Invoice Number]:[Payment Refence]],3)</f>
        <v>46306</v>
      </c>
      <c r="G51" s="23">
        <f>VLOOKUP(Table2[[#This Row],[Invoice Number]],Table4[[Invoice Number]:[Payment Refence]],4)</f>
        <v>1095.75</v>
      </c>
      <c r="H51" s="23" t="str">
        <f>VLOOKUP(Table2[[#This Row],[Invoice Number]],Table4[[Invoice Number]:[Payment Refence]],5)</f>
        <v>Training services</v>
      </c>
      <c r="I51" s="48" t="str">
        <f>VLOOKUP(Table2[[#This Row],[Invoice Number]],Table4[[Invoice Number]:[Payment Refence]],6)</f>
        <v>PAY-7040</v>
      </c>
      <c r="J51" s="53">
        <f>VLOOKUP(Table2[[#This Row],[Invoice Number]],PR!$D$6:$M$110,9)</f>
        <v>547.875</v>
      </c>
      <c r="K51" s="58">
        <f>CT!K44</f>
        <v>547.875</v>
      </c>
      <c r="L5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547.875</v>
      </c>
      <c r="M51" s="51">
        <f ca="1">IF(Table2[[#This Row],[Outstanding Amount]]&gt;1,$F$8-Table2[[#This Row],[Date of invoice]],"")</f>
        <v>9</v>
      </c>
      <c r="N51" s="2">
        <f>CT!M44</f>
        <v>30</v>
      </c>
      <c r="O51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51" s="2"/>
      <c r="R51" s="2"/>
      <c r="S51" s="3"/>
    </row>
    <row r="52" spans="2:19" x14ac:dyDescent="0.3">
      <c r="B52" s="1"/>
      <c r="C52" s="22">
        <f t="shared" si="3"/>
        <v>41</v>
      </c>
      <c r="D52" s="2" t="str">
        <f>PR!D46</f>
        <v>INV-2026-041</v>
      </c>
      <c r="E52" s="2" t="str">
        <f>VLOOKUP(Table2[[#This Row],[Invoice Number]],Table4[[Invoice Number]:[Payment Refence]],2)</f>
        <v>Benjamin Harris</v>
      </c>
      <c r="F52" s="27">
        <f>VLOOKUP(Table2[[#This Row],[Invoice Number]],Table4[[Invoice Number]:[Payment Refence]],3)</f>
        <v>46308</v>
      </c>
      <c r="G52" s="23">
        <f>VLOOKUP(Table2[[#This Row],[Invoice Number]],Table4[[Invoice Number]:[Payment Refence]],4)</f>
        <v>650</v>
      </c>
      <c r="H52" s="23" t="str">
        <f>VLOOKUP(Table2[[#This Row],[Invoice Number]],Table4[[Invoice Number]:[Payment Refence]],5)</f>
        <v>Office supplies</v>
      </c>
      <c r="I52" s="48" t="str">
        <f>VLOOKUP(Table2[[#This Row],[Invoice Number]],Table4[[Invoice Number]:[Payment Refence]],6)</f>
        <v>PAY-7041</v>
      </c>
      <c r="J52" s="53">
        <f>VLOOKUP(Table2[[#This Row],[Invoice Number]],PR!$D$6:$M$110,9)</f>
        <v>325</v>
      </c>
      <c r="K52" s="58">
        <f>CT!K45</f>
        <v>325</v>
      </c>
      <c r="L5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325</v>
      </c>
      <c r="M52" s="51">
        <f ca="1">IF(Table2[[#This Row],[Outstanding Amount]]&gt;1,$F$8-Table2[[#This Row],[Date of invoice]],"")</f>
        <v>7</v>
      </c>
      <c r="N52" s="2">
        <f>CT!M45</f>
        <v>30</v>
      </c>
      <c r="O5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52" s="2"/>
      <c r="R52" s="2"/>
      <c r="S52" s="3"/>
    </row>
    <row r="53" spans="2:19" x14ac:dyDescent="0.3">
      <c r="B53" s="1"/>
      <c r="C53" s="22">
        <f t="shared" si="3"/>
        <v>42</v>
      </c>
      <c r="D53" s="2" t="str">
        <f>PR!D47</f>
        <v>INV-2026-042</v>
      </c>
      <c r="E53" s="2" t="str">
        <f>VLOOKUP(Table2[[#This Row],[Invoice Number]],Table4[[Invoice Number]:[Payment Refence]],2)</f>
        <v>Aria Martin</v>
      </c>
      <c r="F53" s="27">
        <f>VLOOKUP(Table2[[#This Row],[Invoice Number]],Table4[[Invoice Number]:[Payment Refence]],3)</f>
        <v>46310</v>
      </c>
      <c r="G53" s="23">
        <f>VLOOKUP(Table2[[#This Row],[Invoice Number]],Table4[[Invoice Number]:[Payment Refence]],4)</f>
        <v>1980.5</v>
      </c>
      <c r="H53" s="23" t="str">
        <f>VLOOKUP(Table2[[#This Row],[Invoice Number]],Table4[[Invoice Number]:[Payment Refence]],5)</f>
        <v>Consulting services</v>
      </c>
      <c r="I53" s="48" t="str">
        <f>VLOOKUP(Table2[[#This Row],[Invoice Number]],Table4[[Invoice Number]:[Payment Refence]],6)</f>
        <v>PAY-7042</v>
      </c>
      <c r="J53" s="53">
        <f>VLOOKUP(Table2[[#This Row],[Invoice Number]],PR!$D$6:$M$110,9)</f>
        <v>990.25</v>
      </c>
      <c r="K53" s="58">
        <f>CT!K46</f>
        <v>990.25</v>
      </c>
      <c r="L5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990.25</v>
      </c>
      <c r="M53" s="51">
        <f ca="1">IF(Table2[[#This Row],[Outstanding Amount]]&gt;1,$F$8-Table2[[#This Row],[Date of invoice]],"")</f>
        <v>5</v>
      </c>
      <c r="N53" s="2">
        <f>CT!M46</f>
        <v>30</v>
      </c>
      <c r="O5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53" s="2"/>
      <c r="R53" s="2"/>
      <c r="S53" s="3"/>
    </row>
    <row r="54" spans="2:19" x14ac:dyDescent="0.3">
      <c r="B54" s="1"/>
      <c r="C54" s="22">
        <f t="shared" si="3"/>
        <v>43</v>
      </c>
      <c r="D54" s="2" t="str">
        <f>PR!D48</f>
        <v>INV-2026-043</v>
      </c>
      <c r="E54" s="2" t="str">
        <f>VLOOKUP(Table2[[#This Row],[Invoice Number]],Table4[[Invoice Number]:[Payment Refence]],2)</f>
        <v>Daniel Moore</v>
      </c>
      <c r="F54" s="27">
        <f>VLOOKUP(Table2[[#This Row],[Invoice Number]],Table4[[Invoice Number]:[Payment Refence]],3)</f>
        <v>46311</v>
      </c>
      <c r="G54" s="23">
        <f>VLOOKUP(Table2[[#This Row],[Invoice Number]],Table4[[Invoice Number]:[Payment Refence]],4)</f>
        <v>845</v>
      </c>
      <c r="H54" s="23" t="str">
        <f>VLOOKUP(Table2[[#This Row],[Invoice Number]],Table4[[Invoice Number]:[Payment Refence]],5)</f>
        <v>Equipment purchase</v>
      </c>
      <c r="I54" s="48" t="str">
        <f>VLOOKUP(Table2[[#This Row],[Invoice Number]],Table4[[Invoice Number]:[Payment Refence]],6)</f>
        <v>PAY-7043</v>
      </c>
      <c r="J54" s="53">
        <f>VLOOKUP(Table2[[#This Row],[Invoice Number]],PR!$D$6:$M$110,9)</f>
        <v>422.5</v>
      </c>
      <c r="K54" s="58">
        <f>CT!K47</f>
        <v>422.5</v>
      </c>
      <c r="L5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422.5</v>
      </c>
      <c r="M54" s="51">
        <f ca="1">IF(Table2[[#This Row],[Outstanding Amount]]&gt;1,$F$8-Table2[[#This Row],[Date of invoice]],"")</f>
        <v>4</v>
      </c>
      <c r="N54" s="2">
        <f>CT!M47</f>
        <v>30</v>
      </c>
      <c r="O5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54" s="2"/>
      <c r="R54" s="2"/>
      <c r="S54" s="3"/>
    </row>
    <row r="55" spans="2:19" x14ac:dyDescent="0.3">
      <c r="B55" s="1"/>
      <c r="C55" s="22">
        <f t="shared" si="3"/>
        <v>44</v>
      </c>
      <c r="D55" s="2" t="str">
        <f>PR!D49</f>
        <v>INV-2026-044</v>
      </c>
      <c r="E55" s="2" t="str">
        <f>VLOOKUP(Table2[[#This Row],[Invoice Number]],Table4[[Invoice Number]:[Payment Refence]],2)</f>
        <v>Maisie Taylor</v>
      </c>
      <c r="F55" s="27">
        <f>VLOOKUP(Table2[[#This Row],[Invoice Number]],Table4[[Invoice Number]:[Payment Refence]],3)</f>
        <v>46253</v>
      </c>
      <c r="G55" s="23">
        <f>VLOOKUP(Table2[[#This Row],[Invoice Number]],Table4[[Invoice Number]:[Payment Refence]],4)</f>
        <v>420.25</v>
      </c>
      <c r="H55" s="23" t="str">
        <f>VLOOKUP(Table2[[#This Row],[Invoice Number]],Table4[[Invoice Number]:[Payment Refence]],5)</f>
        <v>Monthly subscription</v>
      </c>
      <c r="I55" s="48" t="str">
        <f>VLOOKUP(Table2[[#This Row],[Invoice Number]],Table4[[Invoice Number]:[Payment Refence]],6)</f>
        <v>PAY-7044</v>
      </c>
      <c r="J55" s="53">
        <f>VLOOKUP(Table2[[#This Row],[Invoice Number]],PR!$D$6:$M$110,9)</f>
        <v>210.125</v>
      </c>
      <c r="K55" s="58">
        <f>CT!K48</f>
        <v>210.125</v>
      </c>
      <c r="L5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245.84625</v>
      </c>
      <c r="M55" s="51">
        <f ca="1">IF(Table2[[#This Row],[Outstanding Amount]]&gt;1,$F$8-Table2[[#This Row],[Date of invoice]],"")</f>
        <v>62</v>
      </c>
      <c r="N55" s="2">
        <f>CT!M48</f>
        <v>30</v>
      </c>
      <c r="O5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32</v>
      </c>
      <c r="Q55" s="2"/>
      <c r="R55" s="2"/>
      <c r="S55" s="3"/>
    </row>
    <row r="56" spans="2:19" x14ac:dyDescent="0.3">
      <c r="B56" s="1"/>
      <c r="C56" s="22">
        <f t="shared" si="3"/>
        <v>45</v>
      </c>
      <c r="D56" s="2" t="str">
        <f>PR!D50</f>
        <v>INV-2026-045</v>
      </c>
      <c r="E56" s="2" t="str">
        <f>VLOOKUP(Table2[[#This Row],[Invoice Number]],Table4[[Invoice Number]:[Payment Refence]],2)</f>
        <v>Samuel Anderson</v>
      </c>
      <c r="F56" s="27">
        <f>VLOOKUP(Table2[[#This Row],[Invoice Number]],Table4[[Invoice Number]:[Payment Refence]],3)</f>
        <v>46258</v>
      </c>
      <c r="G56" s="23">
        <f>VLOOKUP(Table2[[#This Row],[Invoice Number]],Table4[[Invoice Number]:[Payment Refence]],4)</f>
        <v>2650</v>
      </c>
      <c r="H56" s="23" t="str">
        <f>VLOOKUP(Table2[[#This Row],[Invoice Number]],Table4[[Invoice Number]:[Payment Refence]],5)</f>
        <v>Project delivery</v>
      </c>
      <c r="I56" s="48" t="str">
        <f>VLOOKUP(Table2[[#This Row],[Invoice Number]],Table4[[Invoice Number]:[Payment Refence]],6)</f>
        <v>PAY-7045</v>
      </c>
      <c r="J56" s="53">
        <f>VLOOKUP(Table2[[#This Row],[Invoice Number]],PR!$D$6:$M$110,9)</f>
        <v>1325</v>
      </c>
      <c r="K56" s="58">
        <f>CT!K49</f>
        <v>1325</v>
      </c>
      <c r="L5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1510.5</v>
      </c>
      <c r="M56" s="51">
        <f ca="1">IF(Table2[[#This Row],[Outstanding Amount]]&gt;1,$F$8-Table2[[#This Row],[Date of invoice]],"")</f>
        <v>57</v>
      </c>
      <c r="N56" s="2">
        <f>CT!M49</f>
        <v>30</v>
      </c>
      <c r="O5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27</v>
      </c>
      <c r="Q56" s="2"/>
      <c r="R56" s="2"/>
      <c r="S56" s="3"/>
    </row>
    <row r="57" spans="2:19" x14ac:dyDescent="0.3">
      <c r="B57" s="1"/>
      <c r="C57" s="22">
        <f t="shared" si="3"/>
        <v>46</v>
      </c>
      <c r="D57" s="2" t="str">
        <f>PR!D51</f>
        <v>INV-2026-046</v>
      </c>
      <c r="E57" s="2" t="str">
        <f>VLOOKUP(Table2[[#This Row],[Invoice Number]],Table4[[Invoice Number]:[Payment Refence]],2)</f>
        <v>Sienna Thomas</v>
      </c>
      <c r="F57" s="27">
        <f>VLOOKUP(Table2[[#This Row],[Invoice Number]],Table4[[Invoice Number]:[Payment Refence]],3)</f>
        <v>46263</v>
      </c>
      <c r="G57" s="23">
        <f>VLOOKUP(Table2[[#This Row],[Invoice Number]],Table4[[Invoice Number]:[Payment Refence]],4)</f>
        <v>715.5</v>
      </c>
      <c r="H57" s="23" t="str">
        <f>VLOOKUP(Table2[[#This Row],[Invoice Number]],Table4[[Invoice Number]:[Payment Refence]],5)</f>
        <v>Marketing services</v>
      </c>
      <c r="I57" s="48" t="str">
        <f>VLOOKUP(Table2[[#This Row],[Invoice Number]],Table4[[Invoice Number]:[Payment Refence]],6)</f>
        <v>PAY-7046</v>
      </c>
      <c r="J57" s="53">
        <f>VLOOKUP(Table2[[#This Row],[Invoice Number]],PR!$D$6:$M$110,9)</f>
        <v>357.75</v>
      </c>
      <c r="K57" s="58">
        <f>CT!K50</f>
        <v>357.75</v>
      </c>
      <c r="L5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397.10250000000002</v>
      </c>
      <c r="M57" s="51">
        <f ca="1">IF(Table2[[#This Row],[Outstanding Amount]]&gt;1,$F$8-Table2[[#This Row],[Date of invoice]],"")</f>
        <v>52</v>
      </c>
      <c r="N57" s="2">
        <f>CT!M50</f>
        <v>30</v>
      </c>
      <c r="O5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22</v>
      </c>
      <c r="Q57" s="2"/>
      <c r="R57" s="2"/>
      <c r="S57" s="3"/>
    </row>
    <row r="58" spans="2:19" x14ac:dyDescent="0.3">
      <c r="B58" s="1"/>
      <c r="C58" s="22">
        <f t="shared" si="3"/>
        <v>47</v>
      </c>
      <c r="D58" s="2" t="str">
        <f>PR!D52</f>
        <v>INV-2026-047</v>
      </c>
      <c r="E58" s="2" t="str">
        <f>VLOOKUP(Table2[[#This Row],[Invoice Number]],Table4[[Invoice Number]:[Payment Refence]],2)</f>
        <v>Joseph Jackson</v>
      </c>
      <c r="F58" s="27">
        <f>VLOOKUP(Table2[[#This Row],[Invoice Number]],Table4[[Invoice Number]:[Payment Refence]],3)</f>
        <v>46269</v>
      </c>
      <c r="G58" s="23">
        <f>VLOOKUP(Table2[[#This Row],[Invoice Number]],Table4[[Invoice Number]:[Payment Refence]],4)</f>
        <v>390</v>
      </c>
      <c r="H58" s="23" t="str">
        <f>VLOOKUP(Table2[[#This Row],[Invoice Number]],Table4[[Invoice Number]:[Payment Refence]],5)</f>
        <v>Maintenance services</v>
      </c>
      <c r="I58" s="48" t="str">
        <f>VLOOKUP(Table2[[#This Row],[Invoice Number]],Table4[[Invoice Number]:[Payment Refence]],6)</f>
        <v>PAY-7047</v>
      </c>
      <c r="J58" s="53">
        <f>VLOOKUP(Table2[[#This Row],[Invoice Number]],PR!$D$6:$M$110,9)</f>
        <v>195</v>
      </c>
      <c r="K58" s="58">
        <f>CT!K51</f>
        <v>195</v>
      </c>
      <c r="L5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210.6</v>
      </c>
      <c r="M58" s="51">
        <f ca="1">IF(Table2[[#This Row],[Outstanding Amount]]&gt;1,$F$8-Table2[[#This Row],[Date of invoice]],"")</f>
        <v>46</v>
      </c>
      <c r="N58" s="2">
        <f>CT!M51</f>
        <v>30</v>
      </c>
      <c r="O5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16</v>
      </c>
      <c r="Q58" s="2"/>
      <c r="R58" s="2"/>
      <c r="S58" s="3"/>
    </row>
    <row r="59" spans="2:19" x14ac:dyDescent="0.3">
      <c r="B59" s="1"/>
      <c r="C59" s="22">
        <f t="shared" si="3"/>
        <v>48</v>
      </c>
      <c r="D59" s="2" t="str">
        <f>PR!D53</f>
        <v>INV-2026-048</v>
      </c>
      <c r="E59" s="2" t="str">
        <f>VLOOKUP(Table2[[#This Row],[Invoice Number]],Table4[[Invoice Number]:[Payment Refence]],2)</f>
        <v>Phoebe White</v>
      </c>
      <c r="F59" s="27">
        <f>VLOOKUP(Table2[[#This Row],[Invoice Number]],Table4[[Invoice Number]:[Payment Refence]],3)</f>
        <v>46273</v>
      </c>
      <c r="G59" s="23">
        <f>VLOOKUP(Table2[[#This Row],[Invoice Number]],Table4[[Invoice Number]:[Payment Refence]],4)</f>
        <v>1560.75</v>
      </c>
      <c r="H59" s="23" t="str">
        <f>VLOOKUP(Table2[[#This Row],[Invoice Number]],Table4[[Invoice Number]:[Payment Refence]],5)</f>
        <v>Software licence</v>
      </c>
      <c r="I59" s="48" t="str">
        <f>VLOOKUP(Table2[[#This Row],[Invoice Number]],Table4[[Invoice Number]:[Payment Refence]],6)</f>
        <v>PAY-7048</v>
      </c>
      <c r="J59" s="53">
        <f>VLOOKUP(Table2[[#This Row],[Invoice Number]],PR!$D$6:$M$110,9)</f>
        <v>780.375</v>
      </c>
      <c r="K59" s="58">
        <f>CT!K52</f>
        <v>780.375</v>
      </c>
      <c r="L5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819.39374999999995</v>
      </c>
      <c r="M59" s="51">
        <f ca="1">IF(Table2[[#This Row],[Outstanding Amount]]&gt;1,$F$8-Table2[[#This Row],[Date of invoice]],"")</f>
        <v>42</v>
      </c>
      <c r="N59" s="2">
        <f>CT!M52</f>
        <v>30</v>
      </c>
      <c r="O5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12</v>
      </c>
      <c r="Q59" s="2"/>
      <c r="R59" s="2"/>
      <c r="S59" s="3"/>
    </row>
    <row r="60" spans="2:19" x14ac:dyDescent="0.3">
      <c r="B60" s="1"/>
      <c r="C60" s="22">
        <f t="shared" si="3"/>
        <v>49</v>
      </c>
      <c r="D60" s="2" t="str">
        <f>PR!D54</f>
        <v>INV-2026-049</v>
      </c>
      <c r="E60" s="2" t="str">
        <f>VLOOKUP(Table2[[#This Row],[Invoice Number]],Table4[[Invoice Number]:[Payment Refence]],2)</f>
        <v>Alexander Harris</v>
      </c>
      <c r="F60" s="27">
        <f>VLOOKUP(Table2[[#This Row],[Invoice Number]],Table4[[Invoice Number]:[Payment Refence]],3)</f>
        <v>46278</v>
      </c>
      <c r="G60" s="23">
        <f>VLOOKUP(Table2[[#This Row],[Invoice Number]],Table4[[Invoice Number]:[Payment Refence]],4)</f>
        <v>305</v>
      </c>
      <c r="H60" s="23" t="str">
        <f>VLOOKUP(Table2[[#This Row],[Invoice Number]],Table4[[Invoice Number]:[Payment Refence]],5)</f>
        <v>Stationery order</v>
      </c>
      <c r="I60" s="48" t="str">
        <f>VLOOKUP(Table2[[#This Row],[Invoice Number]],Table4[[Invoice Number]:[Payment Refence]],6)</f>
        <v>PAY-7049</v>
      </c>
      <c r="J60" s="53">
        <f>VLOOKUP(Table2[[#This Row],[Invoice Number]],PR!$D$6:$M$110,9)</f>
        <v>152.5</v>
      </c>
      <c r="K60" s="58">
        <f>CT!K53</f>
        <v>152.5</v>
      </c>
      <c r="L6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155.55000000000001</v>
      </c>
      <c r="M60" s="51">
        <f ca="1">IF(Table2[[#This Row],[Outstanding Amount]]&gt;1,$F$8-Table2[[#This Row],[Date of invoice]],"")</f>
        <v>37</v>
      </c>
      <c r="N60" s="2">
        <f>CT!M53</f>
        <v>30</v>
      </c>
      <c r="O60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7</v>
      </c>
      <c r="Q60" s="2"/>
      <c r="R60" s="2"/>
      <c r="S60" s="3"/>
    </row>
    <row r="61" spans="2:19" x14ac:dyDescent="0.3">
      <c r="B61" s="1"/>
      <c r="C61" s="22">
        <f t="shared" si="3"/>
        <v>50</v>
      </c>
      <c r="D61" s="2" t="str">
        <f>PR!D55</f>
        <v>INV-2026-050</v>
      </c>
      <c r="E61" s="2" t="str">
        <f>VLOOKUP(Table2[[#This Row],[Invoice Number]],Table4[[Invoice Number]:[Payment Refence]],2)</f>
        <v>Matilda Martin</v>
      </c>
      <c r="F61" s="27">
        <f>VLOOKUP(Table2[[#This Row],[Invoice Number]],Table4[[Invoice Number]:[Payment Refence]],3)</f>
        <v>46281</v>
      </c>
      <c r="G61" s="23">
        <f>VLOOKUP(Table2[[#This Row],[Invoice Number]],Table4[[Invoice Number]:[Payment Refence]],4)</f>
        <v>1240</v>
      </c>
      <c r="H61" s="23" t="str">
        <f>VLOOKUP(Table2[[#This Row],[Invoice Number]],Table4[[Invoice Number]:[Payment Refence]],5)</f>
        <v>Training services</v>
      </c>
      <c r="I61" s="48" t="str">
        <f>VLOOKUP(Table2[[#This Row],[Invoice Number]],Table4[[Invoice Number]:[Payment Refence]],6)</f>
        <v>PAY-7050</v>
      </c>
      <c r="J61" s="53">
        <f>VLOOKUP(Table2[[#This Row],[Invoice Number]],PR!$D$6:$M$110,9)</f>
        <v>1240</v>
      </c>
      <c r="K61" s="58" t="str">
        <f>CT!K54</f>
        <v>Paid All</v>
      </c>
      <c r="L6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1240</v>
      </c>
      <c r="M61" s="51">
        <f ca="1">IF(Table2[[#This Row],[Outstanding Amount]]&gt;1,$F$8-Table2[[#This Row],[Date of invoice]],"")</f>
        <v>34</v>
      </c>
      <c r="N61" s="2">
        <f>CT!M54</f>
        <v>30</v>
      </c>
      <c r="O61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4</v>
      </c>
      <c r="Q61" s="2"/>
      <c r="R61" s="2"/>
      <c r="S61" s="3"/>
    </row>
    <row r="62" spans="2:19" x14ac:dyDescent="0.3">
      <c r="B62" s="1"/>
      <c r="C62" s="22">
        <f t="shared" si="3"/>
        <v>51</v>
      </c>
      <c r="D62" s="2" t="str">
        <f>PR!D56</f>
        <v>INV-2026-051</v>
      </c>
      <c r="E62" s="2" t="str">
        <f>VLOOKUP(Table2[[#This Row],[Invoice Number]],Table4[[Invoice Number]:[Payment Refence]],2)</f>
        <v>Sebastian Moore</v>
      </c>
      <c r="F62" s="27">
        <f>VLOOKUP(Table2[[#This Row],[Invoice Number]],Table4[[Invoice Number]:[Payment Refence]],3)</f>
        <v>46284</v>
      </c>
      <c r="G62" s="23">
        <f>VLOOKUP(Table2[[#This Row],[Invoice Number]],Table4[[Invoice Number]:[Payment Refence]],4)</f>
        <v>890.5</v>
      </c>
      <c r="H62" s="23" t="str">
        <f>VLOOKUP(Table2[[#This Row],[Invoice Number]],Table4[[Invoice Number]:[Payment Refence]],5)</f>
        <v>Office supplies</v>
      </c>
      <c r="I62" s="48" t="str">
        <f>VLOOKUP(Table2[[#This Row],[Invoice Number]],Table4[[Invoice Number]:[Payment Refence]],6)</f>
        <v>PAY-7051</v>
      </c>
      <c r="J62" s="53">
        <f>VLOOKUP(Table2[[#This Row],[Invoice Number]],PR!$D$6:$M$110,9)</f>
        <v>445.25</v>
      </c>
      <c r="K62" s="58">
        <f>CT!K55</f>
        <v>445.25</v>
      </c>
      <c r="L6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445.25</v>
      </c>
      <c r="M62" s="51">
        <f ca="1">IF(Table2[[#This Row],[Outstanding Amount]]&gt;1,$F$8-Table2[[#This Row],[Date of invoice]],"")</f>
        <v>31</v>
      </c>
      <c r="N62" s="2">
        <f>CT!M55</f>
        <v>30</v>
      </c>
      <c r="O62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</v>
      </c>
      <c r="Q62" s="2"/>
      <c r="R62" s="2"/>
      <c r="S62" s="3"/>
    </row>
    <row r="63" spans="2:19" x14ac:dyDescent="0.3">
      <c r="B63" s="1"/>
      <c r="C63" s="22">
        <f t="shared" si="3"/>
        <v>52</v>
      </c>
      <c r="D63" s="2" t="str">
        <f>PR!D57</f>
        <v>INV-2026-052</v>
      </c>
      <c r="E63" s="2" t="str">
        <f>VLOOKUP(Table2[[#This Row],[Invoice Number]],Table4[[Invoice Number]:[Payment Refence]],2)</f>
        <v>Harper Taylor</v>
      </c>
      <c r="F63" s="27">
        <f>VLOOKUP(Table2[[#This Row],[Invoice Number]],Table4[[Invoice Number]:[Payment Refence]],3)</f>
        <v>46288</v>
      </c>
      <c r="G63" s="23">
        <f>VLOOKUP(Table2[[#This Row],[Invoice Number]],Table4[[Invoice Number]:[Payment Refence]],4)</f>
        <v>2150</v>
      </c>
      <c r="H63" s="23" t="str">
        <f>VLOOKUP(Table2[[#This Row],[Invoice Number]],Table4[[Invoice Number]:[Payment Refence]],5)</f>
        <v>Consulting services</v>
      </c>
      <c r="I63" s="48" t="str">
        <f>VLOOKUP(Table2[[#This Row],[Invoice Number]],Table4[[Invoice Number]:[Payment Refence]],6)</f>
        <v>PAY-7052</v>
      </c>
      <c r="J63" s="53">
        <f>VLOOKUP(Table2[[#This Row],[Invoice Number]],PR!$D$6:$M$110,9)</f>
        <v>1075</v>
      </c>
      <c r="K63" s="58">
        <f>CT!K56</f>
        <v>1075</v>
      </c>
      <c r="L6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1075</v>
      </c>
      <c r="M63" s="51">
        <f ca="1">IF(Table2[[#This Row],[Outstanding Amount]]&gt;1,$F$8-Table2[[#This Row],[Date of invoice]],"")</f>
        <v>27</v>
      </c>
      <c r="N63" s="2">
        <f>CT!M56</f>
        <v>30</v>
      </c>
      <c r="O6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63" s="2"/>
      <c r="R63" s="2"/>
      <c r="S63" s="3"/>
    </row>
    <row r="64" spans="2:19" x14ac:dyDescent="0.3">
      <c r="B64" s="1"/>
      <c r="C64" s="22">
        <f t="shared" si="3"/>
        <v>53</v>
      </c>
      <c r="D64" s="2" t="str">
        <f>PR!D58</f>
        <v>INV-2026-053</v>
      </c>
      <c r="E64" s="2" t="str">
        <f>VLOOKUP(Table2[[#This Row],[Invoice Number]],Table4[[Invoice Number]:[Payment Refence]],2)</f>
        <v>Dylan Anderson</v>
      </c>
      <c r="F64" s="27">
        <f>VLOOKUP(Table2[[#This Row],[Invoice Number]],Table4[[Invoice Number]:[Payment Refence]],3)</f>
        <v>46291</v>
      </c>
      <c r="G64" s="23">
        <f>VLOOKUP(Table2[[#This Row],[Invoice Number]],Table4[[Invoice Number]:[Payment Refence]],4)</f>
        <v>475.25</v>
      </c>
      <c r="H64" s="23" t="str">
        <f>VLOOKUP(Table2[[#This Row],[Invoice Number]],Table4[[Invoice Number]:[Payment Refence]],5)</f>
        <v>Equipment purchase</v>
      </c>
      <c r="I64" s="48" t="str">
        <f>VLOOKUP(Table2[[#This Row],[Invoice Number]],Table4[[Invoice Number]:[Payment Refence]],6)</f>
        <v>PAY-7053</v>
      </c>
      <c r="J64" s="53">
        <f>VLOOKUP(Table2[[#This Row],[Invoice Number]],PR!$D$6:$M$110,9)</f>
        <v>237.625</v>
      </c>
      <c r="K64" s="58">
        <f>CT!K57</f>
        <v>237.625</v>
      </c>
      <c r="L6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237.625</v>
      </c>
      <c r="M64" s="51">
        <f ca="1">IF(Table2[[#This Row],[Outstanding Amount]]&gt;1,$F$8-Table2[[#This Row],[Date of invoice]],"")</f>
        <v>24</v>
      </c>
      <c r="N64" s="2">
        <f>CT!M57</f>
        <v>30</v>
      </c>
      <c r="O6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64" s="2"/>
      <c r="R64" s="2"/>
      <c r="S64" s="3"/>
    </row>
    <row r="65" spans="2:19" x14ac:dyDescent="0.3">
      <c r="B65" s="1"/>
      <c r="C65" s="22">
        <f t="shared" si="3"/>
        <v>54</v>
      </c>
      <c r="D65" s="2" t="str">
        <f>PR!D59</f>
        <v>INV-2026-054</v>
      </c>
      <c r="E65" s="2" t="str">
        <f>VLOOKUP(Table2[[#This Row],[Invoice Number]],Table4[[Invoice Number]:[Payment Refence]],2)</f>
        <v>Violet Thomas</v>
      </c>
      <c r="F65" s="27">
        <f>VLOOKUP(Table2[[#This Row],[Invoice Number]],Table4[[Invoice Number]:[Payment Refence]],3)</f>
        <v>46264</v>
      </c>
      <c r="G65" s="23">
        <f>VLOOKUP(Table2[[#This Row],[Invoice Number]],Table4[[Invoice Number]:[Payment Refence]],4)</f>
        <v>1375</v>
      </c>
      <c r="H65" s="23" t="str">
        <f>VLOOKUP(Table2[[#This Row],[Invoice Number]],Table4[[Invoice Number]:[Payment Refence]],5)</f>
        <v>Monthly subscription</v>
      </c>
      <c r="I65" s="48" t="str">
        <f>VLOOKUP(Table2[[#This Row],[Invoice Number]],Table4[[Invoice Number]:[Payment Refence]],6)</f>
        <v>PAY-7054</v>
      </c>
      <c r="J65" s="53">
        <f>VLOOKUP(Table2[[#This Row],[Invoice Number]],PR!$D$6:$M$110,9)</f>
        <v>687.5</v>
      </c>
      <c r="K65" s="58">
        <f>CT!K58</f>
        <v>687.5</v>
      </c>
      <c r="L6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763.125</v>
      </c>
      <c r="M65" s="51">
        <f ca="1">IF(Table2[[#This Row],[Outstanding Amount]]&gt;1,$F$8-Table2[[#This Row],[Date of invoice]],"")</f>
        <v>51</v>
      </c>
      <c r="N65" s="2">
        <f>CT!M58</f>
        <v>30</v>
      </c>
      <c r="O6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21</v>
      </c>
      <c r="Q65" s="2"/>
      <c r="R65" s="2"/>
      <c r="S65" s="3"/>
    </row>
    <row r="66" spans="2:19" x14ac:dyDescent="0.3">
      <c r="B66" s="1"/>
      <c r="C66" s="22">
        <f t="shared" si="3"/>
        <v>55</v>
      </c>
      <c r="D66" s="2" t="str">
        <f>PR!D60</f>
        <v>INV-2026-055</v>
      </c>
      <c r="E66" s="2" t="str">
        <f>VLOOKUP(Table2[[#This Row],[Invoice Number]],Table4[[Invoice Number]:[Payment Refence]],2)</f>
        <v>Adam Jackson</v>
      </c>
      <c r="F66" s="27">
        <f>VLOOKUP(Table2[[#This Row],[Invoice Number]],Table4[[Invoice Number]:[Payment Refence]],3)</f>
        <v>46271</v>
      </c>
      <c r="G66" s="23">
        <f>VLOOKUP(Table2[[#This Row],[Invoice Number]],Table4[[Invoice Number]:[Payment Refence]],4)</f>
        <v>590</v>
      </c>
      <c r="H66" s="23" t="str">
        <f>VLOOKUP(Table2[[#This Row],[Invoice Number]],Table4[[Invoice Number]:[Payment Refence]],5)</f>
        <v>Project delivery</v>
      </c>
      <c r="I66" s="48" t="str">
        <f>VLOOKUP(Table2[[#This Row],[Invoice Number]],Table4[[Invoice Number]:[Payment Refence]],6)</f>
        <v>PAY-7055</v>
      </c>
      <c r="J66" s="53">
        <f>VLOOKUP(Table2[[#This Row],[Invoice Number]],PR!$D$6:$M$110,9)</f>
        <v>295</v>
      </c>
      <c r="K66" s="58">
        <f>CT!K59</f>
        <v>295</v>
      </c>
      <c r="L6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309.75</v>
      </c>
      <c r="M66" s="51">
        <f ca="1">IF(Table2[[#This Row],[Outstanding Amount]]&gt;1,$F$8-Table2[[#This Row],[Date of invoice]],"")</f>
        <v>44</v>
      </c>
      <c r="N66" s="2">
        <f>CT!M59</f>
        <v>30</v>
      </c>
      <c r="O6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14</v>
      </c>
      <c r="Q66" s="2"/>
      <c r="R66" s="2"/>
      <c r="S66" s="3"/>
    </row>
    <row r="67" spans="2:19" x14ac:dyDescent="0.3">
      <c r="B67" s="1"/>
      <c r="C67" s="22">
        <f t="shared" ref="C67:C98" si="4">C66+1</f>
        <v>56</v>
      </c>
      <c r="D67" s="2" t="str">
        <f>PR!D61</f>
        <v>INV-2026-056</v>
      </c>
      <c r="E67" s="2" t="str">
        <f>VLOOKUP(Table2[[#This Row],[Invoice Number]],Table4[[Invoice Number]:[Payment Refence]],2)</f>
        <v>Esme White</v>
      </c>
      <c r="F67" s="27">
        <f>VLOOKUP(Table2[[#This Row],[Invoice Number]],Table4[[Invoice Number]:[Payment Refence]],3)</f>
        <v>46274</v>
      </c>
      <c r="G67" s="23">
        <f>VLOOKUP(Table2[[#This Row],[Invoice Number]],Table4[[Invoice Number]:[Payment Refence]],4)</f>
        <v>1920.5</v>
      </c>
      <c r="H67" s="23" t="str">
        <f>VLOOKUP(Table2[[#This Row],[Invoice Number]],Table4[[Invoice Number]:[Payment Refence]],5)</f>
        <v>Marketing services</v>
      </c>
      <c r="I67" s="48" t="str">
        <f>VLOOKUP(Table2[[#This Row],[Invoice Number]],Table4[[Invoice Number]:[Payment Refence]],6)</f>
        <v>PAY-7056</v>
      </c>
      <c r="J67" s="53">
        <f>VLOOKUP(Table2[[#This Row],[Invoice Number]],PR!$D$6:$M$110,9)</f>
        <v>960.25</v>
      </c>
      <c r="K67" s="58">
        <f>CT!K60</f>
        <v>960.25</v>
      </c>
      <c r="L6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1008.2625</v>
      </c>
      <c r="M67" s="51">
        <f ca="1">IF(Table2[[#This Row],[Outstanding Amount]]&gt;1,$F$8-Table2[[#This Row],[Date of invoice]],"")</f>
        <v>41</v>
      </c>
      <c r="N67" s="2">
        <f>CT!M60</f>
        <v>30</v>
      </c>
      <c r="O6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11</v>
      </c>
      <c r="Q67" s="2"/>
      <c r="R67" s="2"/>
      <c r="S67" s="3"/>
    </row>
    <row r="68" spans="2:19" x14ac:dyDescent="0.3">
      <c r="B68" s="1"/>
      <c r="C68" s="22">
        <f t="shared" si="4"/>
        <v>57</v>
      </c>
      <c r="D68" s="2" t="str">
        <f>PR!D62</f>
        <v>INV-2026-057</v>
      </c>
      <c r="E68" s="2" t="str">
        <f>VLOOKUP(Table2[[#This Row],[Invoice Number]],Table4[[Invoice Number]:[Payment Refence]],2)</f>
        <v>Ryan Harris</v>
      </c>
      <c r="F68" s="27">
        <f>VLOOKUP(Table2[[#This Row],[Invoice Number]],Table4[[Invoice Number]:[Payment Refence]],3)</f>
        <v>46280</v>
      </c>
      <c r="G68" s="23">
        <f>VLOOKUP(Table2[[#This Row],[Invoice Number]],Table4[[Invoice Number]:[Payment Refence]],4)</f>
        <v>345.75</v>
      </c>
      <c r="H68" s="23" t="str">
        <f>VLOOKUP(Table2[[#This Row],[Invoice Number]],Table4[[Invoice Number]:[Payment Refence]],5)</f>
        <v>Maintenance services</v>
      </c>
      <c r="I68" s="48" t="str">
        <f>VLOOKUP(Table2[[#This Row],[Invoice Number]],Table4[[Invoice Number]:[Payment Refence]],6)</f>
        <v>PAY-7057</v>
      </c>
      <c r="J68" s="53">
        <f>VLOOKUP(Table2[[#This Row],[Invoice Number]],PR!$D$6:$M$110,9)</f>
        <v>172.875</v>
      </c>
      <c r="K68" s="58">
        <f>CT!K61</f>
        <v>172.875</v>
      </c>
      <c r="L6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176.33250000000001</v>
      </c>
      <c r="M68" s="51">
        <f ca="1">IF(Table2[[#This Row],[Outstanding Amount]]&gt;1,$F$8-Table2[[#This Row],[Date of invoice]],"")</f>
        <v>35</v>
      </c>
      <c r="N68" s="2">
        <f>CT!M61</f>
        <v>30</v>
      </c>
      <c r="O6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5</v>
      </c>
      <c r="Q68" s="2"/>
      <c r="R68" s="2"/>
      <c r="S68" s="3"/>
    </row>
    <row r="69" spans="2:19" x14ac:dyDescent="0.3">
      <c r="B69" s="1"/>
      <c r="C69" s="22">
        <f t="shared" si="4"/>
        <v>58</v>
      </c>
      <c r="D69" s="2" t="str">
        <f>PR!D63</f>
        <v>INV-2026-058</v>
      </c>
      <c r="E69" s="2" t="str">
        <f>VLOOKUP(Table2[[#This Row],[Invoice Number]],Table4[[Invoice Number]:[Payment Refence]],2)</f>
        <v>Willow Martin</v>
      </c>
      <c r="F69" s="27">
        <f>VLOOKUP(Table2[[#This Row],[Invoice Number]],Table4[[Invoice Number]:[Payment Refence]],3)</f>
        <v>46285</v>
      </c>
      <c r="G69" s="23">
        <f>VLOOKUP(Table2[[#This Row],[Invoice Number]],Table4[[Invoice Number]:[Payment Refence]],4)</f>
        <v>1080</v>
      </c>
      <c r="H69" s="23" t="str">
        <f>VLOOKUP(Table2[[#This Row],[Invoice Number]],Table4[[Invoice Number]:[Payment Refence]],5)</f>
        <v>Software licence</v>
      </c>
      <c r="I69" s="48" t="str">
        <f>VLOOKUP(Table2[[#This Row],[Invoice Number]],Table4[[Invoice Number]:[Payment Refence]],6)</f>
        <v>PAY-7058</v>
      </c>
      <c r="J69" s="53">
        <f>VLOOKUP(Table2[[#This Row],[Invoice Number]],PR!$D$6:$M$110,9)</f>
        <v>540</v>
      </c>
      <c r="K69" s="58">
        <f>CT!K62</f>
        <v>540</v>
      </c>
      <c r="L6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540</v>
      </c>
      <c r="M69" s="51">
        <f ca="1">IF(Table2[[#This Row],[Outstanding Amount]]&gt;1,$F$8-Table2[[#This Row],[Date of invoice]],"")</f>
        <v>30</v>
      </c>
      <c r="N69" s="2">
        <f>CT!M62</f>
        <v>30</v>
      </c>
      <c r="O69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69" s="2"/>
      <c r="R69" s="2"/>
      <c r="S69" s="3"/>
    </row>
    <row r="70" spans="2:19" x14ac:dyDescent="0.3">
      <c r="B70" s="1"/>
      <c r="C70" s="22">
        <f t="shared" si="4"/>
        <v>59</v>
      </c>
      <c r="D70" s="2" t="str">
        <f>PR!D64</f>
        <v>INV-2026-059</v>
      </c>
      <c r="E70" s="2" t="str">
        <f>VLOOKUP(Table2[[#This Row],[Invoice Number]],Table4[[Invoice Number]:[Payment Refence]],2)</f>
        <v>Nathan Moore</v>
      </c>
      <c r="F70" s="27">
        <f>VLOOKUP(Table2[[#This Row],[Invoice Number]],Table4[[Invoice Number]:[Payment Refence]],3)</f>
        <v>46290</v>
      </c>
      <c r="G70" s="23">
        <f>VLOOKUP(Table2[[#This Row],[Invoice Number]],Table4[[Invoice Number]:[Payment Refence]],4)</f>
        <v>2420.25</v>
      </c>
      <c r="H70" s="23" t="str">
        <f>VLOOKUP(Table2[[#This Row],[Invoice Number]],Table4[[Invoice Number]:[Payment Refence]],5)</f>
        <v>Stationery order</v>
      </c>
      <c r="I70" s="48" t="str">
        <f>VLOOKUP(Table2[[#This Row],[Invoice Number]],Table4[[Invoice Number]:[Payment Refence]],6)</f>
        <v>PAY-7059</v>
      </c>
      <c r="J70" s="53">
        <f>VLOOKUP(Table2[[#This Row],[Invoice Number]],PR!$D$6:$M$110,9)</f>
        <v>1210.125</v>
      </c>
      <c r="K70" s="58">
        <f>CT!K63</f>
        <v>1210.125</v>
      </c>
      <c r="L7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1210.125</v>
      </c>
      <c r="M70" s="51">
        <f ca="1">IF(Table2[[#This Row],[Outstanding Amount]]&gt;1,$F$8-Table2[[#This Row],[Date of invoice]],"")</f>
        <v>25</v>
      </c>
      <c r="N70" s="2">
        <f>CT!M63</f>
        <v>30</v>
      </c>
      <c r="O70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0" s="2"/>
      <c r="R70" s="2"/>
      <c r="S70" s="3"/>
    </row>
    <row r="71" spans="2:19" x14ac:dyDescent="0.3">
      <c r="B71" s="1"/>
      <c r="C71" s="22">
        <f t="shared" si="4"/>
        <v>60</v>
      </c>
      <c r="D71" s="2" t="str">
        <f>PR!D65</f>
        <v>INV-2026-060</v>
      </c>
      <c r="E71" s="2" t="str">
        <f>VLOOKUP(Table2[[#This Row],[Invoice Number]],Table4[[Invoice Number]:[Payment Refence]],2)</f>
        <v>Luna Taylor</v>
      </c>
      <c r="F71" s="27">
        <f>VLOOKUP(Table2[[#This Row],[Invoice Number]],Table4[[Invoice Number]:[Payment Refence]],3)</f>
        <v>46297</v>
      </c>
      <c r="G71" s="23">
        <f>VLOOKUP(Table2[[#This Row],[Invoice Number]],Table4[[Invoice Number]:[Payment Refence]],4)</f>
        <v>695</v>
      </c>
      <c r="H71" s="23" t="str">
        <f>VLOOKUP(Table2[[#This Row],[Invoice Number]],Table4[[Invoice Number]:[Payment Refence]],5)</f>
        <v>Training services</v>
      </c>
      <c r="I71" s="48" t="str">
        <f>VLOOKUP(Table2[[#This Row],[Invoice Number]],Table4[[Invoice Number]:[Payment Refence]],6)</f>
        <v>PAY-7060</v>
      </c>
      <c r="J71" s="53">
        <f>VLOOKUP(Table2[[#This Row],[Invoice Number]],PR!$D$6:$M$110,9)</f>
        <v>347.5</v>
      </c>
      <c r="K71" s="58">
        <f>CT!K64</f>
        <v>347.5</v>
      </c>
      <c r="L7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347.5</v>
      </c>
      <c r="M71" s="51">
        <f ca="1">IF(Table2[[#This Row],[Outstanding Amount]]&gt;1,$F$8-Table2[[#This Row],[Date of invoice]],"")</f>
        <v>18</v>
      </c>
      <c r="N71" s="2">
        <f>CT!M64</f>
        <v>30</v>
      </c>
      <c r="O71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1" s="2"/>
      <c r="R71" s="2"/>
      <c r="S71" s="3"/>
    </row>
    <row r="72" spans="2:19" x14ac:dyDescent="0.3">
      <c r="B72" s="1"/>
      <c r="C72" s="22">
        <f t="shared" si="4"/>
        <v>61</v>
      </c>
      <c r="D72" s="2" t="str">
        <f>PR!D66</f>
        <v>INV-2026-061</v>
      </c>
      <c r="E72" s="2" t="str">
        <f>VLOOKUP(Table2[[#This Row],[Invoice Number]],Table4[[Invoice Number]:[Payment Refence]],2)</f>
        <v>Isaac Anderson</v>
      </c>
      <c r="F72" s="27">
        <f>VLOOKUP(Table2[[#This Row],[Invoice Number]],Table4[[Invoice Number]:[Payment Refence]],3)</f>
        <v>46300</v>
      </c>
      <c r="G72" s="23">
        <f>VLOOKUP(Table2[[#This Row],[Invoice Number]],Table4[[Invoice Number]:[Payment Refence]],4)</f>
        <v>1325.5</v>
      </c>
      <c r="H72" s="23" t="str">
        <f>VLOOKUP(Table2[[#This Row],[Invoice Number]],Table4[[Invoice Number]:[Payment Refence]],5)</f>
        <v>Office supplies</v>
      </c>
      <c r="I72" s="48" t="str">
        <f>VLOOKUP(Table2[[#This Row],[Invoice Number]],Table4[[Invoice Number]:[Payment Refence]],6)</f>
        <v>PAY-7061</v>
      </c>
      <c r="J72" s="53">
        <f>VLOOKUP(Table2[[#This Row],[Invoice Number]],PR!$D$6:$M$110,9)</f>
        <v>662.75</v>
      </c>
      <c r="K72" s="58">
        <f>CT!K65</f>
        <v>662.75</v>
      </c>
      <c r="L7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662.75</v>
      </c>
      <c r="M72" s="51">
        <f ca="1">IF(Table2[[#This Row],[Outstanding Amount]]&gt;1,$F$8-Table2[[#This Row],[Date of invoice]],"")</f>
        <v>15</v>
      </c>
      <c r="N72" s="2">
        <f>CT!M65</f>
        <v>30</v>
      </c>
      <c r="O7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2" s="2"/>
      <c r="R72" s="2"/>
      <c r="S72" s="3"/>
    </row>
    <row r="73" spans="2:19" x14ac:dyDescent="0.3">
      <c r="B73" s="1"/>
      <c r="C73" s="22">
        <f t="shared" si="4"/>
        <v>62</v>
      </c>
      <c r="D73" s="2" t="str">
        <f>PR!D67</f>
        <v>INV-2026-062</v>
      </c>
      <c r="E73" s="2" t="str">
        <f>VLOOKUP(Table2[[#This Row],[Invoice Number]],Table4[[Invoice Number]:[Payment Refence]],2)</f>
        <v>Erin Thomas</v>
      </c>
      <c r="F73" s="27">
        <f>VLOOKUP(Table2[[#This Row],[Invoice Number]],Table4[[Invoice Number]:[Payment Refence]],3)</f>
        <v>46303</v>
      </c>
      <c r="G73" s="23">
        <f>VLOOKUP(Table2[[#This Row],[Invoice Number]],Table4[[Invoice Number]:[Payment Refence]],4)</f>
        <v>550</v>
      </c>
      <c r="H73" s="23" t="str">
        <f>VLOOKUP(Table2[[#This Row],[Invoice Number]],Table4[[Invoice Number]:[Payment Refence]],5)</f>
        <v>Consulting services</v>
      </c>
      <c r="I73" s="48" t="str">
        <f>VLOOKUP(Table2[[#This Row],[Invoice Number]],Table4[[Invoice Number]:[Payment Refence]],6)</f>
        <v>PAY-7062</v>
      </c>
      <c r="J73" s="53">
        <f>VLOOKUP(Table2[[#This Row],[Invoice Number]],PR!$D$6:$M$110,9)</f>
        <v>275</v>
      </c>
      <c r="K73" s="58">
        <f>CT!K66</f>
        <v>275</v>
      </c>
      <c r="L7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275</v>
      </c>
      <c r="M73" s="51">
        <f ca="1">IF(Table2[[#This Row],[Outstanding Amount]]&gt;1,$F$8-Table2[[#This Row],[Date of invoice]],"")</f>
        <v>12</v>
      </c>
      <c r="N73" s="2">
        <f>CT!M66</f>
        <v>30</v>
      </c>
      <c r="O7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3" s="2"/>
      <c r="R73" s="2"/>
      <c r="S73" s="3"/>
    </row>
    <row r="74" spans="2:19" x14ac:dyDescent="0.3">
      <c r="B74" s="1"/>
      <c r="C74" s="22">
        <f t="shared" si="4"/>
        <v>63</v>
      </c>
      <c r="D74" s="2" t="str">
        <f>PR!D68</f>
        <v>INV-2026-063</v>
      </c>
      <c r="E74" s="2" t="str">
        <f>VLOOKUP(Table2[[#This Row],[Invoice Number]],Table4[[Invoice Number]:[Payment Refence]],2)</f>
        <v>Caleb Jackson</v>
      </c>
      <c r="F74" s="27">
        <f>VLOOKUP(Table2[[#This Row],[Invoice Number]],Table4[[Invoice Number]:[Payment Refence]],3)</f>
        <v>46306</v>
      </c>
      <c r="G74" s="23">
        <f>VLOOKUP(Table2[[#This Row],[Invoice Number]],Table4[[Invoice Number]:[Payment Refence]],4)</f>
        <v>2780.75</v>
      </c>
      <c r="H74" s="23" t="str">
        <f>VLOOKUP(Table2[[#This Row],[Invoice Number]],Table4[[Invoice Number]:[Payment Refence]],5)</f>
        <v>Equipment purchase</v>
      </c>
      <c r="I74" s="48" t="str">
        <f>VLOOKUP(Table2[[#This Row],[Invoice Number]],Table4[[Invoice Number]:[Payment Refence]],6)</f>
        <v>PAY-7063</v>
      </c>
      <c r="J74" s="53">
        <f>VLOOKUP(Table2[[#This Row],[Invoice Number]],PR!$D$6:$M$110,9)</f>
        <v>1390.375</v>
      </c>
      <c r="K74" s="58">
        <f>CT!K67</f>
        <v>1390.375</v>
      </c>
      <c r="L7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1390.375</v>
      </c>
      <c r="M74" s="51">
        <f ca="1">IF(Table2[[#This Row],[Outstanding Amount]]&gt;1,$F$8-Table2[[#This Row],[Date of invoice]],"")</f>
        <v>9</v>
      </c>
      <c r="N74" s="2">
        <f>CT!M67</f>
        <v>30</v>
      </c>
      <c r="O7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4" s="2"/>
      <c r="R74" s="2"/>
      <c r="S74" s="3"/>
    </row>
    <row r="75" spans="2:19" x14ac:dyDescent="0.3">
      <c r="B75" s="1"/>
      <c r="C75" s="22">
        <f t="shared" si="4"/>
        <v>64</v>
      </c>
      <c r="D75" s="2" t="str">
        <f>PR!D69</f>
        <v>INV-2026-064</v>
      </c>
      <c r="E75" s="2" t="str">
        <f>VLOOKUP(Table2[[#This Row],[Invoice Number]],Table4[[Invoice Number]:[Payment Refence]],2)</f>
        <v>Georgia White</v>
      </c>
      <c r="F75" s="27">
        <f>VLOOKUP(Table2[[#This Row],[Invoice Number]],Table4[[Invoice Number]:[Payment Refence]],3)</f>
        <v>46309</v>
      </c>
      <c r="G75" s="23">
        <f>VLOOKUP(Table2[[#This Row],[Invoice Number]],Table4[[Invoice Number]:[Payment Refence]],4)</f>
        <v>810</v>
      </c>
      <c r="H75" s="23" t="str">
        <f>VLOOKUP(Table2[[#This Row],[Invoice Number]],Table4[[Invoice Number]:[Payment Refence]],5)</f>
        <v>Monthly subscription</v>
      </c>
      <c r="I75" s="48" t="str">
        <f>VLOOKUP(Table2[[#This Row],[Invoice Number]],Table4[[Invoice Number]:[Payment Refence]],6)</f>
        <v>PAY-7064</v>
      </c>
      <c r="J75" s="53">
        <f>VLOOKUP(Table2[[#This Row],[Invoice Number]],PR!$D$6:$M$110,9)</f>
        <v>405</v>
      </c>
      <c r="K75" s="58">
        <f>CT!K68</f>
        <v>405</v>
      </c>
      <c r="L7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405</v>
      </c>
      <c r="M75" s="51">
        <f ca="1">IF(Table2[[#This Row],[Outstanding Amount]]&gt;1,$F$8-Table2[[#This Row],[Date of invoice]],"")</f>
        <v>6</v>
      </c>
      <c r="N75" s="2">
        <f>CT!M68</f>
        <v>30</v>
      </c>
      <c r="O75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5" s="2"/>
      <c r="R75" s="2"/>
      <c r="S75" s="3"/>
    </row>
    <row r="76" spans="2:19" x14ac:dyDescent="0.3">
      <c r="B76" s="1"/>
      <c r="C76" s="22">
        <f t="shared" si="4"/>
        <v>65</v>
      </c>
      <c r="D76" s="2" t="str">
        <f>PR!D70</f>
        <v>INV-2026-065</v>
      </c>
      <c r="E76" s="2" t="str">
        <f>VLOOKUP(Table2[[#This Row],[Invoice Number]],Table4[[Invoice Number]:[Payment Refence]],2)</f>
        <v>Aaron Harris</v>
      </c>
      <c r="F76" s="27">
        <f>VLOOKUP(Table2[[#This Row],[Invoice Number]],Table4[[Invoice Number]:[Payment Refence]],3)</f>
        <v>46311</v>
      </c>
      <c r="G76" s="23">
        <f>VLOOKUP(Table2[[#This Row],[Invoice Number]],Table4[[Invoice Number]:[Payment Refence]],4)</f>
        <v>1465.25</v>
      </c>
      <c r="H76" s="23" t="str">
        <f>VLOOKUP(Table2[[#This Row],[Invoice Number]],Table4[[Invoice Number]:[Payment Refence]],5)</f>
        <v>Project delivery</v>
      </c>
      <c r="I76" s="48" t="str">
        <f>VLOOKUP(Table2[[#This Row],[Invoice Number]],Table4[[Invoice Number]:[Payment Refence]],6)</f>
        <v>PAY-7065</v>
      </c>
      <c r="J76" s="53">
        <f>VLOOKUP(Table2[[#This Row],[Invoice Number]],PR!$D$6:$M$110,9)</f>
        <v>732.625</v>
      </c>
      <c r="K76" s="58">
        <f>CT!K69</f>
        <v>732.625</v>
      </c>
      <c r="L7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732.625</v>
      </c>
      <c r="M76" s="51">
        <f ca="1">IF(Table2[[#This Row],[Outstanding Amount]]&gt;1,$F$8-Table2[[#This Row],[Date of invoice]],"")</f>
        <v>4</v>
      </c>
      <c r="N76" s="2">
        <f>CT!M69</f>
        <v>30</v>
      </c>
      <c r="O76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76" s="2"/>
      <c r="R76" s="2"/>
      <c r="S76" s="3"/>
    </row>
    <row r="77" spans="2:19" x14ac:dyDescent="0.3">
      <c r="B77" s="1"/>
      <c r="C77" s="22">
        <f t="shared" si="4"/>
        <v>66</v>
      </c>
      <c r="D77" s="2" t="str">
        <f>PR!D71</f>
        <v>INV-2026-066</v>
      </c>
      <c r="E77" s="2" t="str">
        <f>VLOOKUP(Table2[[#This Row],[Invoice Number]],Table4[[Invoice Number]:[Payment Refence]],2)</f>
        <v>Holly Martin</v>
      </c>
      <c r="F77" s="27">
        <f>VLOOKUP(Table2[[#This Row],[Invoice Number]],Table4[[Invoice Number]:[Payment Refence]],3)</f>
        <v>46251</v>
      </c>
      <c r="G77" s="23">
        <f>VLOOKUP(Table2[[#This Row],[Invoice Number]],Table4[[Invoice Number]:[Payment Refence]],4)</f>
        <v>430</v>
      </c>
      <c r="H77" s="23" t="str">
        <f>VLOOKUP(Table2[[#This Row],[Invoice Number]],Table4[[Invoice Number]:[Payment Refence]],5)</f>
        <v>Marketing services</v>
      </c>
      <c r="I77" s="48" t="str">
        <f>VLOOKUP(Table2[[#This Row],[Invoice Number]],Table4[[Invoice Number]:[Payment Refence]],6)</f>
        <v>PAY-7066</v>
      </c>
      <c r="J77" s="53">
        <f>VLOOKUP(Table2[[#This Row],[Invoice Number]],PR!$D$6:$M$110,9)</f>
        <v>215</v>
      </c>
      <c r="K77" s="58">
        <f>CT!K70</f>
        <v>215</v>
      </c>
      <c r="L7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251.55</v>
      </c>
      <c r="M77" s="51">
        <f ca="1">IF(Table2[[#This Row],[Outstanding Amount]]&gt;1,$F$8-Table2[[#This Row],[Date of invoice]],"")</f>
        <v>64</v>
      </c>
      <c r="N77" s="2">
        <f>CT!M70</f>
        <v>30</v>
      </c>
      <c r="O7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34</v>
      </c>
      <c r="Q77" s="2"/>
      <c r="R77" s="2"/>
      <c r="S77" s="3"/>
    </row>
    <row r="78" spans="2:19" x14ac:dyDescent="0.3">
      <c r="B78" s="1"/>
      <c r="C78" s="22">
        <f t="shared" si="4"/>
        <v>67</v>
      </c>
      <c r="D78" s="2" t="str">
        <f>PR!D72</f>
        <v>INV-2026-067</v>
      </c>
      <c r="E78" s="2" t="str">
        <f>VLOOKUP(Table2[[#This Row],[Invoice Number]],Table4[[Invoice Number]:[Payment Refence]],2)</f>
        <v>Connor Moore</v>
      </c>
      <c r="F78" s="27">
        <f>VLOOKUP(Table2[[#This Row],[Invoice Number]],Table4[[Invoice Number]:[Payment Refence]],3)</f>
        <v>46255</v>
      </c>
      <c r="G78" s="23">
        <f>VLOOKUP(Table2[[#This Row],[Invoice Number]],Table4[[Invoice Number]:[Payment Refence]],4)</f>
        <v>1020.5</v>
      </c>
      <c r="H78" s="23" t="str">
        <f>VLOOKUP(Table2[[#This Row],[Invoice Number]],Table4[[Invoice Number]:[Payment Refence]],5)</f>
        <v>Maintenance services</v>
      </c>
      <c r="I78" s="48" t="str">
        <f>VLOOKUP(Table2[[#This Row],[Invoice Number]],Table4[[Invoice Number]:[Payment Refence]],6)</f>
        <v>PAY-7067</v>
      </c>
      <c r="J78" s="53">
        <f>VLOOKUP(Table2[[#This Row],[Invoice Number]],PR!$D$6:$M$110,9)</f>
        <v>510.25</v>
      </c>
      <c r="K78" s="58">
        <f>CT!K71</f>
        <v>510.25</v>
      </c>
      <c r="L7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596.99250000000006</v>
      </c>
      <c r="M78" s="51">
        <f ca="1">IF(Table2[[#This Row],[Outstanding Amount]]&gt;1,$F$8-Table2[[#This Row],[Date of invoice]],"")</f>
        <v>60</v>
      </c>
      <c r="N78" s="2">
        <f>CT!M71</f>
        <v>30</v>
      </c>
      <c r="O7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30</v>
      </c>
      <c r="Q78" s="2"/>
      <c r="R78" s="2"/>
      <c r="S78" s="3"/>
    </row>
    <row r="79" spans="2:19" x14ac:dyDescent="0.3">
      <c r="B79" s="1"/>
      <c r="C79" s="22">
        <f t="shared" si="4"/>
        <v>68</v>
      </c>
      <c r="D79" s="2" t="str">
        <f>PR!D73</f>
        <v>INV-2026-068</v>
      </c>
      <c r="E79" s="2" t="str">
        <f>VLOOKUP(Table2[[#This Row],[Invoice Number]],Table4[[Invoice Number]:[Payment Refence]],2)</f>
        <v>Megan Taylor</v>
      </c>
      <c r="F79" s="27">
        <f>VLOOKUP(Table2[[#This Row],[Invoice Number]],Table4[[Invoice Number]:[Payment Refence]],3)</f>
        <v>46260</v>
      </c>
      <c r="G79" s="23">
        <f>VLOOKUP(Table2[[#This Row],[Invoice Number]],Table4[[Invoice Number]:[Payment Refence]],4)</f>
        <v>1735</v>
      </c>
      <c r="H79" s="23" t="str">
        <f>VLOOKUP(Table2[[#This Row],[Invoice Number]],Table4[[Invoice Number]:[Payment Refence]],5)</f>
        <v>Software licence</v>
      </c>
      <c r="I79" s="48" t="str">
        <f>VLOOKUP(Table2[[#This Row],[Invoice Number]],Table4[[Invoice Number]:[Payment Refence]],6)</f>
        <v>PAY-7068</v>
      </c>
      <c r="J79" s="53">
        <f>VLOOKUP(Table2[[#This Row],[Invoice Number]],PR!$D$6:$M$110,9)</f>
        <v>867.5</v>
      </c>
      <c r="K79" s="58">
        <f>CT!K72</f>
        <v>867.5</v>
      </c>
      <c r="L7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988.95</v>
      </c>
      <c r="M79" s="51">
        <f ca="1">IF(Table2[[#This Row],[Outstanding Amount]]&gt;1,$F$8-Table2[[#This Row],[Date of invoice]],"")</f>
        <v>55</v>
      </c>
      <c r="N79" s="2">
        <f>CT!M72</f>
        <v>30</v>
      </c>
      <c r="O7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25</v>
      </c>
      <c r="Q79" s="2"/>
      <c r="R79" s="2"/>
      <c r="S79" s="3"/>
    </row>
    <row r="80" spans="2:19" x14ac:dyDescent="0.3">
      <c r="B80" s="1"/>
      <c r="C80" s="22">
        <f t="shared" si="4"/>
        <v>69</v>
      </c>
      <c r="D80" s="2" t="str">
        <f>PR!D74</f>
        <v>INV-2026-069</v>
      </c>
      <c r="E80" s="2" t="str">
        <f>VLOOKUP(Table2[[#This Row],[Invoice Number]],Table4[[Invoice Number]:[Payment Refence]],2)</f>
        <v>Reuben Anderson</v>
      </c>
      <c r="F80" s="27">
        <f>VLOOKUP(Table2[[#This Row],[Invoice Number]],Table4[[Invoice Number]:[Payment Refence]],3)</f>
        <v>46265</v>
      </c>
      <c r="G80" s="23">
        <f>VLOOKUP(Table2[[#This Row],[Invoice Number]],Table4[[Invoice Number]:[Payment Refence]],4)</f>
        <v>290.75</v>
      </c>
      <c r="H80" s="23" t="str">
        <f>VLOOKUP(Table2[[#This Row],[Invoice Number]],Table4[[Invoice Number]:[Payment Refence]],5)</f>
        <v>Stationery order</v>
      </c>
      <c r="I80" s="48" t="str">
        <f>VLOOKUP(Table2[[#This Row],[Invoice Number]],Table4[[Invoice Number]:[Payment Refence]],6)</f>
        <v>PAY-7069</v>
      </c>
      <c r="J80" s="53">
        <f>VLOOKUP(Table2[[#This Row],[Invoice Number]],PR!$D$6:$M$110,9)</f>
        <v>145.375</v>
      </c>
      <c r="K80" s="58">
        <f>CT!K73</f>
        <v>145.375</v>
      </c>
      <c r="L8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161.36625000000001</v>
      </c>
      <c r="M80" s="51">
        <f ca="1">IF(Table2[[#This Row],[Outstanding Amount]]&gt;1,$F$8-Table2[[#This Row],[Date of invoice]],"")</f>
        <v>50</v>
      </c>
      <c r="N80" s="2">
        <f>CT!M73</f>
        <v>30</v>
      </c>
      <c r="O80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20</v>
      </c>
      <c r="Q80" s="2"/>
      <c r="R80" s="2"/>
      <c r="S80" s="3"/>
    </row>
    <row r="81" spans="2:19" x14ac:dyDescent="0.3">
      <c r="B81" s="1"/>
      <c r="C81" s="22">
        <f t="shared" si="4"/>
        <v>70</v>
      </c>
      <c r="D81" s="2" t="str">
        <f>PR!D75</f>
        <v>INV-2026-070</v>
      </c>
      <c r="E81" s="2" t="str">
        <f>VLOOKUP(Table2[[#This Row],[Invoice Number]],Table4[[Invoice Number]:[Payment Refence]],2)</f>
        <v>Imogen Thomas</v>
      </c>
      <c r="F81" s="27">
        <f>VLOOKUP(Table2[[#This Row],[Invoice Number]],Table4[[Invoice Number]:[Payment Refence]],3)</f>
        <v>46266</v>
      </c>
      <c r="G81" s="23">
        <f>VLOOKUP(Table2[[#This Row],[Invoice Number]],Table4[[Invoice Number]:[Payment Refence]],4)</f>
        <v>1190</v>
      </c>
      <c r="H81" s="23" t="str">
        <f>VLOOKUP(Table2[[#This Row],[Invoice Number]],Table4[[Invoice Number]:[Payment Refence]],5)</f>
        <v>Training services</v>
      </c>
      <c r="I81" s="48" t="str">
        <f>VLOOKUP(Table2[[#This Row],[Invoice Number]],Table4[[Invoice Number]:[Payment Refence]],6)</f>
        <v>PAY-7070</v>
      </c>
      <c r="J81" s="53">
        <f>VLOOKUP(Table2[[#This Row],[Invoice Number]],PR!$D$6:$M$110,9)</f>
        <v>595</v>
      </c>
      <c r="K81" s="58">
        <f>CT!K74</f>
        <v>595</v>
      </c>
      <c r="L8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642.6</v>
      </c>
      <c r="M81" s="51">
        <f ca="1">IF(Table2[[#This Row],[Outstanding Amount]]&gt;1,$F$8-Table2[[#This Row],[Date of invoice]],"")</f>
        <v>49</v>
      </c>
      <c r="N81" s="2">
        <f>CT!M74</f>
        <v>30</v>
      </c>
      <c r="O81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19</v>
      </c>
      <c r="Q81" s="2"/>
      <c r="R81" s="2"/>
      <c r="S81" s="3"/>
    </row>
    <row r="82" spans="2:19" x14ac:dyDescent="0.3">
      <c r="B82" s="1"/>
      <c r="C82" s="22">
        <f t="shared" si="4"/>
        <v>71</v>
      </c>
      <c r="D82" s="2" t="str">
        <f>PR!D76</f>
        <v>INV-2026-071</v>
      </c>
      <c r="E82" s="2" t="str">
        <f>VLOOKUP(Table2[[#This Row],[Invoice Number]],Table4[[Invoice Number]:[Payment Refence]],2)</f>
        <v>David Jackson</v>
      </c>
      <c r="F82" s="27">
        <f>VLOOKUP(Table2[[#This Row],[Invoice Number]],Table4[[Invoice Number]:[Payment Refence]],3)</f>
        <v>46271</v>
      </c>
      <c r="G82" s="23">
        <f>VLOOKUP(Table2[[#This Row],[Invoice Number]],Table4[[Invoice Number]:[Payment Refence]],4)</f>
        <v>745.5</v>
      </c>
      <c r="H82" s="23" t="str">
        <f>VLOOKUP(Table2[[#This Row],[Invoice Number]],Table4[[Invoice Number]:[Payment Refence]],5)</f>
        <v>Office supplies</v>
      </c>
      <c r="I82" s="48" t="str">
        <f>VLOOKUP(Table2[[#This Row],[Invoice Number]],Table4[[Invoice Number]:[Payment Refence]],6)</f>
        <v>PAY-7071</v>
      </c>
      <c r="J82" s="53">
        <f>VLOOKUP(Table2[[#This Row],[Invoice Number]],PR!$D$6:$M$110,9)</f>
        <v>372.75</v>
      </c>
      <c r="K82" s="58">
        <f>CT!K75</f>
        <v>372.75</v>
      </c>
      <c r="L8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391.38749999999999</v>
      </c>
      <c r="M82" s="51">
        <f ca="1">IF(Table2[[#This Row],[Outstanding Amount]]&gt;1,$F$8-Table2[[#This Row],[Date of invoice]],"")</f>
        <v>44</v>
      </c>
      <c r="N82" s="2">
        <f>CT!M75</f>
        <v>30</v>
      </c>
      <c r="O82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14</v>
      </c>
      <c r="Q82" s="2"/>
      <c r="R82" s="2"/>
      <c r="S82" s="3"/>
    </row>
    <row r="83" spans="2:19" x14ac:dyDescent="0.3">
      <c r="B83" s="1"/>
      <c r="C83" s="22">
        <f t="shared" si="4"/>
        <v>72</v>
      </c>
      <c r="D83" s="2" t="str">
        <f>PR!D77</f>
        <v>INV-2026-072</v>
      </c>
      <c r="E83" s="2" t="str">
        <f>VLOOKUP(Table2[[#This Row],[Invoice Number]],Table4[[Invoice Number]:[Payment Refence]],2)</f>
        <v>Arabella White</v>
      </c>
      <c r="F83" s="27">
        <f>VLOOKUP(Table2[[#This Row],[Invoice Number]],Table4[[Invoice Number]:[Payment Refence]],3)</f>
        <v>46275</v>
      </c>
      <c r="G83" s="23">
        <f>VLOOKUP(Table2[[#This Row],[Invoice Number]],Table4[[Invoice Number]:[Payment Refence]],4)</f>
        <v>2280</v>
      </c>
      <c r="H83" s="23" t="str">
        <f>VLOOKUP(Table2[[#This Row],[Invoice Number]],Table4[[Invoice Number]:[Payment Refence]],5)</f>
        <v>Consulting services</v>
      </c>
      <c r="I83" s="48" t="str">
        <f>VLOOKUP(Table2[[#This Row],[Invoice Number]],Table4[[Invoice Number]:[Payment Refence]],6)</f>
        <v>PAY-7072</v>
      </c>
      <c r="J83" s="53">
        <f>VLOOKUP(Table2[[#This Row],[Invoice Number]],PR!$D$6:$M$110,9)</f>
        <v>1140</v>
      </c>
      <c r="K83" s="58">
        <f>CT!K76</f>
        <v>1140</v>
      </c>
      <c r="L8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1197</v>
      </c>
      <c r="M83" s="51">
        <f ca="1">IF(Table2[[#This Row],[Outstanding Amount]]&gt;1,$F$8-Table2[[#This Row],[Date of invoice]],"")</f>
        <v>40</v>
      </c>
      <c r="N83" s="2">
        <f>CT!M76</f>
        <v>30</v>
      </c>
      <c r="O83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10</v>
      </c>
      <c r="Q83" s="2"/>
      <c r="R83" s="2"/>
      <c r="S83" s="3"/>
    </row>
    <row r="84" spans="2:19" x14ac:dyDescent="0.3">
      <c r="B84" s="1"/>
      <c r="C84" s="22">
        <f t="shared" si="4"/>
        <v>73</v>
      </c>
      <c r="D84" s="2" t="str">
        <f>PR!D78</f>
        <v>INV-2026-073</v>
      </c>
      <c r="E84" s="2" t="str">
        <f>VLOOKUP(Table2[[#This Row],[Invoice Number]],Table4[[Invoice Number]:[Payment Refence]],2)</f>
        <v>Michael Harris</v>
      </c>
      <c r="F84" s="27">
        <f>VLOOKUP(Table2[[#This Row],[Invoice Number]],Table4[[Invoice Number]:[Payment Refence]],3)</f>
        <v>46279</v>
      </c>
      <c r="G84" s="23">
        <f>VLOOKUP(Table2[[#This Row],[Invoice Number]],Table4[[Invoice Number]:[Payment Refence]],4)</f>
        <v>615.25</v>
      </c>
      <c r="H84" s="23" t="str">
        <f>VLOOKUP(Table2[[#This Row],[Invoice Number]],Table4[[Invoice Number]:[Payment Refence]],5)</f>
        <v>Equipment purchase</v>
      </c>
      <c r="I84" s="48" t="str">
        <f>VLOOKUP(Table2[[#This Row],[Invoice Number]],Table4[[Invoice Number]:[Payment Refence]],6)</f>
        <v>PAY-7073</v>
      </c>
      <c r="J84" s="53">
        <f>VLOOKUP(Table2[[#This Row],[Invoice Number]],PR!$D$6:$M$110,9)</f>
        <v>307.625</v>
      </c>
      <c r="K84" s="58">
        <f>CT!K77</f>
        <v>307.625</v>
      </c>
      <c r="L8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313.77749999999997</v>
      </c>
      <c r="M84" s="51">
        <f ca="1">IF(Table2[[#This Row],[Outstanding Amount]]&gt;1,$F$8-Table2[[#This Row],[Date of invoice]],"")</f>
        <v>36</v>
      </c>
      <c r="N84" s="2">
        <f>CT!M77</f>
        <v>30</v>
      </c>
      <c r="O84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6</v>
      </c>
      <c r="Q84" s="2"/>
      <c r="R84" s="2"/>
      <c r="S84" s="3"/>
    </row>
    <row r="85" spans="2:19" x14ac:dyDescent="0.3">
      <c r="B85" s="1"/>
      <c r="C85" s="22">
        <f t="shared" si="4"/>
        <v>74</v>
      </c>
      <c r="D85" s="2" t="str">
        <f>PR!D79</f>
        <v>INV-2026-074</v>
      </c>
      <c r="E85" s="2" t="str">
        <f>VLOOKUP(Table2[[#This Row],[Invoice Number]],Table4[[Invoice Number]:[Payment Refence]],2)</f>
        <v>Eliza Martin</v>
      </c>
      <c r="F85" s="27">
        <f>VLOOKUP(Table2[[#This Row],[Invoice Number]],Table4[[Invoice Number]:[Payment Refence]],3)</f>
        <v>46283</v>
      </c>
      <c r="G85" s="23">
        <f>VLOOKUP(Table2[[#This Row],[Invoice Number]],Table4[[Invoice Number]:[Payment Refence]],4)</f>
        <v>1410</v>
      </c>
      <c r="H85" s="23" t="str">
        <f>VLOOKUP(Table2[[#This Row],[Invoice Number]],Table4[[Invoice Number]:[Payment Refence]],5)</f>
        <v>Monthly subscription</v>
      </c>
      <c r="I85" s="48" t="str">
        <f>VLOOKUP(Table2[[#This Row],[Invoice Number]],Table4[[Invoice Number]:[Payment Refence]],6)</f>
        <v>PAY-7074</v>
      </c>
      <c r="J85" s="53">
        <f>VLOOKUP(Table2[[#This Row],[Invoice Number]],PR!$D$6:$M$110,9)</f>
        <v>1410</v>
      </c>
      <c r="K85" s="58" t="str">
        <f>CT!K78</f>
        <v>Paid All</v>
      </c>
      <c r="L8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1410</v>
      </c>
      <c r="M85" s="51">
        <f ca="1">IF(Table2[[#This Row],[Outstanding Amount]]&gt;1,$F$8-Table2[[#This Row],[Date of invoice]],"")</f>
        <v>32</v>
      </c>
      <c r="N85" s="2">
        <f>CT!M78</f>
        <v>30</v>
      </c>
      <c r="O8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</v>
      </c>
      <c r="Q85" s="2"/>
      <c r="R85" s="2"/>
      <c r="S85" s="3"/>
    </row>
    <row r="86" spans="2:19" x14ac:dyDescent="0.3">
      <c r="B86" s="1"/>
      <c r="C86" s="22">
        <f t="shared" si="4"/>
        <v>75</v>
      </c>
      <c r="D86" s="2" t="str">
        <f>PR!D80</f>
        <v>INV-2026-075</v>
      </c>
      <c r="E86" s="2" t="str">
        <f>VLOOKUP(Table2[[#This Row],[Invoice Number]],Table4[[Invoice Number]:[Payment Refence]],2)</f>
        <v>Christopher Moore</v>
      </c>
      <c r="F86" s="27">
        <f>VLOOKUP(Table2[[#This Row],[Invoice Number]],Table4[[Invoice Number]:[Payment Refence]],3)</f>
        <v>46287</v>
      </c>
      <c r="G86" s="23">
        <f>VLOOKUP(Table2[[#This Row],[Invoice Number]],Table4[[Invoice Number]:[Payment Refence]],4)</f>
        <v>520.5</v>
      </c>
      <c r="H86" s="23" t="str">
        <f>VLOOKUP(Table2[[#This Row],[Invoice Number]],Table4[[Invoice Number]:[Payment Refence]],5)</f>
        <v>Project delivery</v>
      </c>
      <c r="I86" s="48" t="str">
        <f>VLOOKUP(Table2[[#This Row],[Invoice Number]],Table4[[Invoice Number]:[Payment Refence]],6)</f>
        <v>PAY-7075</v>
      </c>
      <c r="J86" s="53">
        <f>VLOOKUP(Table2[[#This Row],[Invoice Number]],PR!$D$6:$M$110,9)</f>
        <v>260.25</v>
      </c>
      <c r="K86" s="58">
        <f>CT!K79</f>
        <v>260.25</v>
      </c>
      <c r="L8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260.25</v>
      </c>
      <c r="M86" s="51">
        <f ca="1">IF(Table2[[#This Row],[Outstanding Amount]]&gt;1,$F$8-Table2[[#This Row],[Date of invoice]],"")</f>
        <v>28</v>
      </c>
      <c r="N86" s="2">
        <f>CT!M79</f>
        <v>30</v>
      </c>
      <c r="O86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86" s="2"/>
      <c r="R86" s="2"/>
      <c r="S86" s="3"/>
    </row>
    <row r="87" spans="2:19" x14ac:dyDescent="0.3">
      <c r="B87" s="1"/>
      <c r="C87" s="22">
        <f t="shared" si="4"/>
        <v>76</v>
      </c>
      <c r="D87" s="2" t="str">
        <f>PR!D81</f>
        <v>INV-2026-076</v>
      </c>
      <c r="E87" s="2" t="str">
        <f>VLOOKUP(Table2[[#This Row],[Invoice Number]],Table4[[Invoice Number]:[Payment Refence]],2)</f>
        <v>Clara Taylor</v>
      </c>
      <c r="F87" s="27">
        <f>VLOOKUP(Table2[[#This Row],[Invoice Number]],Table4[[Invoice Number]:[Payment Refence]],3)</f>
        <v>46291</v>
      </c>
      <c r="G87" s="23">
        <f>VLOOKUP(Table2[[#This Row],[Invoice Number]],Table4[[Invoice Number]:[Payment Refence]],4)</f>
        <v>1860.75</v>
      </c>
      <c r="H87" s="23" t="str">
        <f>VLOOKUP(Table2[[#This Row],[Invoice Number]],Table4[[Invoice Number]:[Payment Refence]],5)</f>
        <v>Marketing services</v>
      </c>
      <c r="I87" s="48" t="str">
        <f>VLOOKUP(Table2[[#This Row],[Invoice Number]],Table4[[Invoice Number]:[Payment Refence]],6)</f>
        <v>PAY-7076</v>
      </c>
      <c r="J87" s="53">
        <f>VLOOKUP(Table2[[#This Row],[Invoice Number]],PR!$D$6:$M$110,9)</f>
        <v>930.375</v>
      </c>
      <c r="K87" s="58">
        <f>CT!K80</f>
        <v>930.375</v>
      </c>
      <c r="L8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930.375</v>
      </c>
      <c r="M87" s="51">
        <f ca="1">IF(Table2[[#This Row],[Outstanding Amount]]&gt;1,$F$8-Table2[[#This Row],[Date of invoice]],"")</f>
        <v>24</v>
      </c>
      <c r="N87" s="2">
        <f>CT!M80</f>
        <v>30</v>
      </c>
      <c r="O87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87" s="2"/>
      <c r="R87" s="2"/>
      <c r="S87" s="3"/>
    </row>
    <row r="88" spans="2:19" x14ac:dyDescent="0.3">
      <c r="B88" s="1"/>
      <c r="C88" s="22">
        <f t="shared" si="4"/>
        <v>77</v>
      </c>
      <c r="D88" s="2" t="str">
        <f>PR!D82</f>
        <v>INV-2026-077</v>
      </c>
      <c r="E88" s="2" t="str">
        <f>VLOOKUP(Table2[[#This Row],[Invoice Number]],Table4[[Invoice Number]:[Payment Refence]],2)</f>
        <v>Jonathan Anderson</v>
      </c>
      <c r="F88" s="27">
        <f>VLOOKUP(Table2[[#This Row],[Invoice Number]],Table4[[Invoice Number]:[Payment Refence]],3)</f>
        <v>46295</v>
      </c>
      <c r="G88" s="23">
        <f>VLOOKUP(Table2[[#This Row],[Invoice Number]],Table4[[Invoice Number]:[Payment Refence]],4)</f>
        <v>365</v>
      </c>
      <c r="H88" s="23" t="str">
        <f>VLOOKUP(Table2[[#This Row],[Invoice Number]],Table4[[Invoice Number]:[Payment Refence]],5)</f>
        <v>Maintenance services</v>
      </c>
      <c r="I88" s="48" t="str">
        <f>VLOOKUP(Table2[[#This Row],[Invoice Number]],Table4[[Invoice Number]:[Payment Refence]],6)</f>
        <v>PAY-7077</v>
      </c>
      <c r="J88" s="53">
        <f>VLOOKUP(Table2[[#This Row],[Invoice Number]],PR!$D$6:$M$110,9)</f>
        <v>182.5</v>
      </c>
      <c r="K88" s="58">
        <f>CT!K81</f>
        <v>182.5</v>
      </c>
      <c r="L8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182.5</v>
      </c>
      <c r="M88" s="51">
        <f ca="1">IF(Table2[[#This Row],[Outstanding Amount]]&gt;1,$F$8-Table2[[#This Row],[Date of invoice]],"")</f>
        <v>20</v>
      </c>
      <c r="N88" s="2">
        <f>CT!M81</f>
        <v>30</v>
      </c>
      <c r="O88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88" s="2"/>
      <c r="R88" s="2"/>
      <c r="S88" s="3"/>
    </row>
    <row r="89" spans="2:19" x14ac:dyDescent="0.3">
      <c r="B89" s="1"/>
      <c r="C89" s="22">
        <f t="shared" si="4"/>
        <v>78</v>
      </c>
      <c r="D89" s="2" t="str">
        <f>PR!D83</f>
        <v>INV-2026-078</v>
      </c>
      <c r="E89" s="2" t="str">
        <f>VLOOKUP(Table2[[#This Row],[Invoice Number]],Table4[[Invoice Number]:[Payment Refence]],2)</f>
        <v>Amber Thomas</v>
      </c>
      <c r="F89" s="27">
        <f>VLOOKUP(Table2[[#This Row],[Invoice Number]],Table4[[Invoice Number]:[Payment Refence]],3)</f>
        <v>46298</v>
      </c>
      <c r="G89" s="23">
        <f>VLOOKUP(Table2[[#This Row],[Invoice Number]],Table4[[Invoice Number]:[Payment Refence]],4)</f>
        <v>1095.25</v>
      </c>
      <c r="H89" s="23" t="str">
        <f>VLOOKUP(Table2[[#This Row],[Invoice Number]],Table4[[Invoice Number]:[Payment Refence]],5)</f>
        <v>Software licence</v>
      </c>
      <c r="I89" s="48" t="str">
        <f>VLOOKUP(Table2[[#This Row],[Invoice Number]],Table4[[Invoice Number]:[Payment Refence]],6)</f>
        <v>PAY-7078</v>
      </c>
      <c r="J89" s="53">
        <f>VLOOKUP(Table2[[#This Row],[Invoice Number]],PR!$D$6:$M$110,9)</f>
        <v>547.625</v>
      </c>
      <c r="K89" s="58">
        <f>CT!K82</f>
        <v>547.625</v>
      </c>
      <c r="L8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547.625</v>
      </c>
      <c r="M89" s="51">
        <f ca="1">IF(Table2[[#This Row],[Outstanding Amount]]&gt;1,$F$8-Table2[[#This Row],[Date of invoice]],"")</f>
        <v>17</v>
      </c>
      <c r="N89" s="2">
        <f>CT!M82</f>
        <v>30</v>
      </c>
      <c r="O89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89" s="2"/>
      <c r="R89" s="2"/>
      <c r="S89" s="3"/>
    </row>
    <row r="90" spans="2:19" x14ac:dyDescent="0.3">
      <c r="B90" s="1"/>
      <c r="C90" s="22">
        <f t="shared" si="4"/>
        <v>79</v>
      </c>
      <c r="D90" s="2" t="str">
        <f>PR!D84</f>
        <v>INV-2026-079</v>
      </c>
      <c r="E90" s="2" t="str">
        <f>VLOOKUP(Table2[[#This Row],[Invoice Number]],Table4[[Invoice Number]:[Payment Refence]],2)</f>
        <v>Robert Jackson</v>
      </c>
      <c r="F90" s="27">
        <f>VLOOKUP(Table2[[#This Row],[Invoice Number]],Table4[[Invoice Number]:[Payment Refence]],3)</f>
        <v>46301</v>
      </c>
      <c r="G90" s="23">
        <f>VLOOKUP(Table2[[#This Row],[Invoice Number]],Table4[[Invoice Number]:[Payment Refence]],4)</f>
        <v>2525</v>
      </c>
      <c r="H90" s="23" t="str">
        <f>VLOOKUP(Table2[[#This Row],[Invoice Number]],Table4[[Invoice Number]:[Payment Refence]],5)</f>
        <v>Stationery order</v>
      </c>
      <c r="I90" s="48" t="str">
        <f>VLOOKUP(Table2[[#This Row],[Invoice Number]],Table4[[Invoice Number]:[Payment Refence]],6)</f>
        <v>PAY-7079</v>
      </c>
      <c r="J90" s="53">
        <f>VLOOKUP(Table2[[#This Row],[Invoice Number]],PR!$D$6:$M$110,9)</f>
        <v>1262.5</v>
      </c>
      <c r="K90" s="58">
        <f>CT!K83</f>
        <v>1262.5</v>
      </c>
      <c r="L9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1262.5</v>
      </c>
      <c r="M90" s="51">
        <f ca="1">IF(Table2[[#This Row],[Outstanding Amount]]&gt;1,$F$8-Table2[[#This Row],[Date of invoice]],"")</f>
        <v>14</v>
      </c>
      <c r="N90" s="2">
        <f>CT!M83</f>
        <v>30</v>
      </c>
      <c r="O90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90" s="2"/>
      <c r="R90" s="2"/>
      <c r="S90" s="3"/>
    </row>
    <row r="91" spans="2:19" x14ac:dyDescent="0.3">
      <c r="B91" s="1"/>
      <c r="C91" s="22">
        <f t="shared" si="4"/>
        <v>80</v>
      </c>
      <c r="D91" s="2" t="str">
        <f>PR!D85</f>
        <v>INV-2026-080</v>
      </c>
      <c r="E91" s="2" t="str">
        <f>VLOOKUP(Table2[[#This Row],[Invoice Number]],Table4[[Invoice Number]:[Payment Refence]],2)</f>
        <v>Beatrice White</v>
      </c>
      <c r="F91" s="27">
        <f>VLOOKUP(Table2[[#This Row],[Invoice Number]],Table4[[Invoice Number]:[Payment Refence]],3)</f>
        <v>46304</v>
      </c>
      <c r="G91" s="23">
        <f>VLOOKUP(Table2[[#This Row],[Invoice Number]],Table4[[Invoice Number]:[Payment Refence]],4)</f>
        <v>680.5</v>
      </c>
      <c r="H91" s="23" t="str">
        <f>VLOOKUP(Table2[[#This Row],[Invoice Number]],Table4[[Invoice Number]:[Payment Refence]],5)</f>
        <v>Training services</v>
      </c>
      <c r="I91" s="48" t="str">
        <f>VLOOKUP(Table2[[#This Row],[Invoice Number]],Table4[[Invoice Number]:[Payment Refence]],6)</f>
        <v>PAY-7080</v>
      </c>
      <c r="J91" s="53">
        <f>VLOOKUP(Table2[[#This Row],[Invoice Number]],PR!$D$6:$M$110,9)</f>
        <v>340.25</v>
      </c>
      <c r="K91" s="58">
        <f>CT!K84</f>
        <v>340.25</v>
      </c>
      <c r="L9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340.25</v>
      </c>
      <c r="M91" s="51">
        <f ca="1">IF(Table2[[#This Row],[Outstanding Amount]]&gt;1,$F$8-Table2[[#This Row],[Date of invoice]],"")</f>
        <v>11</v>
      </c>
      <c r="N91" s="2">
        <f>CT!M84</f>
        <v>30</v>
      </c>
      <c r="O91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91" s="2"/>
      <c r="R91" s="2"/>
      <c r="S91" s="3"/>
    </row>
    <row r="92" spans="2:19" x14ac:dyDescent="0.3">
      <c r="B92" s="1"/>
      <c r="C92" s="22">
        <f t="shared" si="4"/>
        <v>81</v>
      </c>
      <c r="D92" s="2" t="str">
        <f>PR!D86</f>
        <v>INV-2026-081</v>
      </c>
      <c r="E92" s="2" t="str">
        <f>VLOOKUP(Table2[[#This Row],[Invoice Number]],Table4[[Invoice Number]:[Payment Refence]],2)</f>
        <v>Louis Harris</v>
      </c>
      <c r="F92" s="27">
        <f>VLOOKUP(Table2[[#This Row],[Invoice Number]],Table4[[Invoice Number]:[Payment Refence]],3)</f>
        <v>46307</v>
      </c>
      <c r="G92" s="23">
        <f>VLOOKUP(Table2[[#This Row],[Invoice Number]],Table4[[Invoice Number]:[Payment Refence]],4)</f>
        <v>1155</v>
      </c>
      <c r="H92" s="23" t="str">
        <f>VLOOKUP(Table2[[#This Row],[Invoice Number]],Table4[[Invoice Number]:[Payment Refence]],5)</f>
        <v>Office supplies</v>
      </c>
      <c r="I92" s="48" t="str">
        <f>VLOOKUP(Table2[[#This Row],[Invoice Number]],Table4[[Invoice Number]:[Payment Refence]],6)</f>
        <v>PAY-7081</v>
      </c>
      <c r="J92" s="53">
        <f>VLOOKUP(Table2[[#This Row],[Invoice Number]],PR!$D$6:$M$110,9)</f>
        <v>577.5</v>
      </c>
      <c r="K92" s="58">
        <f>CT!K85</f>
        <v>577.5</v>
      </c>
      <c r="L9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577.5</v>
      </c>
      <c r="M92" s="51">
        <f ca="1">IF(Table2[[#This Row],[Outstanding Amount]]&gt;1,$F$8-Table2[[#This Row],[Date of invoice]],"")</f>
        <v>8</v>
      </c>
      <c r="N92" s="2">
        <f>CT!M85</f>
        <v>30</v>
      </c>
      <c r="O9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92" s="2"/>
      <c r="R92" s="2"/>
      <c r="S92" s="3"/>
    </row>
    <row r="93" spans="2:19" x14ac:dyDescent="0.3">
      <c r="B93" s="1"/>
      <c r="C93" s="22">
        <f t="shared" si="4"/>
        <v>82</v>
      </c>
      <c r="D93" s="2" t="str">
        <f>PR!D87</f>
        <v>INV-2026-082</v>
      </c>
      <c r="E93" s="2" t="str">
        <f>VLOOKUP(Table2[[#This Row],[Invoice Number]],Table4[[Invoice Number]:[Payment Refence]],2)</f>
        <v>Orla Martin</v>
      </c>
      <c r="F93" s="27">
        <f>VLOOKUP(Table2[[#This Row],[Invoice Number]],Table4[[Invoice Number]:[Payment Refence]],3)</f>
        <v>46310</v>
      </c>
      <c r="G93" s="23">
        <f>VLOOKUP(Table2[[#This Row],[Invoice Number]],Table4[[Invoice Number]:[Payment Refence]],4)</f>
        <v>425.75</v>
      </c>
      <c r="H93" s="23" t="str">
        <f>VLOOKUP(Table2[[#This Row],[Invoice Number]],Table4[[Invoice Number]:[Payment Refence]],5)</f>
        <v>Consulting services</v>
      </c>
      <c r="I93" s="48" t="str">
        <f>VLOOKUP(Table2[[#This Row],[Invoice Number]],Table4[[Invoice Number]:[Payment Refence]],6)</f>
        <v>PAY-7082</v>
      </c>
      <c r="J93" s="53">
        <f>VLOOKUP(Table2[[#This Row],[Invoice Number]],PR!$D$6:$M$110,9)</f>
        <v>212.875</v>
      </c>
      <c r="K93" s="58">
        <f>CT!K86</f>
        <v>212.875</v>
      </c>
      <c r="L9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212.875</v>
      </c>
      <c r="M93" s="51">
        <f ca="1">IF(Table2[[#This Row],[Outstanding Amount]]&gt;1,$F$8-Table2[[#This Row],[Date of invoice]],"")</f>
        <v>5</v>
      </c>
      <c r="N93" s="2">
        <f>CT!M86</f>
        <v>30</v>
      </c>
      <c r="O9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93" s="2"/>
      <c r="R93" s="2"/>
      <c r="S93" s="3"/>
    </row>
    <row r="94" spans="2:19" x14ac:dyDescent="0.3">
      <c r="B94" s="1"/>
      <c r="C94" s="22">
        <f t="shared" si="4"/>
        <v>83</v>
      </c>
      <c r="D94" s="2" t="str">
        <f>PR!D88</f>
        <v>INV-2026-083</v>
      </c>
      <c r="E94" s="2" t="str">
        <f>VLOOKUP(Table2[[#This Row],[Invoice Number]],Table4[[Invoice Number]:[Payment Refence]],2)</f>
        <v>Edward Moore</v>
      </c>
      <c r="F94" s="27">
        <f>VLOOKUP(Table2[[#This Row],[Invoice Number]],Table4[[Invoice Number]:[Payment Refence]],3)</f>
        <v>46311</v>
      </c>
      <c r="G94" s="23">
        <f>VLOOKUP(Table2[[#This Row],[Invoice Number]],Table4[[Invoice Number]:[Payment Refence]],4)</f>
        <v>2690</v>
      </c>
      <c r="H94" s="23" t="str">
        <f>VLOOKUP(Table2[[#This Row],[Invoice Number]],Table4[[Invoice Number]:[Payment Refence]],5)</f>
        <v>Equipment purchase</v>
      </c>
      <c r="I94" s="48" t="str">
        <f>VLOOKUP(Table2[[#This Row],[Invoice Number]],Table4[[Invoice Number]:[Payment Refence]],6)</f>
        <v>PAY-7083</v>
      </c>
      <c r="J94" s="53">
        <f>VLOOKUP(Table2[[#This Row],[Invoice Number]],PR!$D$6:$M$110,9)</f>
        <v>1345</v>
      </c>
      <c r="K94" s="58">
        <f>CT!K87</f>
        <v>1345</v>
      </c>
      <c r="L9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1345</v>
      </c>
      <c r="M94" s="51">
        <f ca="1">IF(Table2[[#This Row],[Outstanding Amount]]&gt;1,$F$8-Table2[[#This Row],[Date of invoice]],"")</f>
        <v>4</v>
      </c>
      <c r="N94" s="2">
        <f>CT!M87</f>
        <v>30</v>
      </c>
      <c r="O9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94" s="2"/>
      <c r="R94" s="2"/>
      <c r="S94" s="3"/>
    </row>
    <row r="95" spans="2:19" x14ac:dyDescent="0.3">
      <c r="B95" s="1"/>
      <c r="C95" s="22">
        <f t="shared" si="4"/>
        <v>84</v>
      </c>
      <c r="D95" s="2" t="str">
        <f>PR!D89</f>
        <v>INV-2026-084</v>
      </c>
      <c r="E95" s="2" t="str">
        <f>VLOOKUP(Table2[[#This Row],[Invoice Number]],Table4[[Invoice Number]:[Payment Refence]],2)</f>
        <v>Nancy Taylor</v>
      </c>
      <c r="F95" s="27">
        <f>VLOOKUP(Table2[[#This Row],[Invoice Number]],Table4[[Invoice Number]:[Payment Refence]],3)</f>
        <v>46257</v>
      </c>
      <c r="G95" s="23">
        <f>VLOOKUP(Table2[[#This Row],[Invoice Number]],Table4[[Invoice Number]:[Payment Refence]],4)</f>
        <v>775.5</v>
      </c>
      <c r="H95" s="23" t="str">
        <f>VLOOKUP(Table2[[#This Row],[Invoice Number]],Table4[[Invoice Number]:[Payment Refence]],5)</f>
        <v>Monthly subscription</v>
      </c>
      <c r="I95" s="48" t="str">
        <f>VLOOKUP(Table2[[#This Row],[Invoice Number]],Table4[[Invoice Number]:[Payment Refence]],6)</f>
        <v>PAY-7084</v>
      </c>
      <c r="J95" s="53">
        <f>VLOOKUP(Table2[[#This Row],[Invoice Number]],PR!$D$6:$M$110,9)</f>
        <v>387.75</v>
      </c>
      <c r="K95" s="58">
        <f>CT!K88</f>
        <v>387.75</v>
      </c>
      <c r="L9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442.03500000000003</v>
      </c>
      <c r="M95" s="51">
        <f ca="1">IF(Table2[[#This Row],[Outstanding Amount]]&gt;1,$F$8-Table2[[#This Row],[Date of invoice]],"")</f>
        <v>58</v>
      </c>
      <c r="N95" s="2">
        <f>CT!M88</f>
        <v>30</v>
      </c>
      <c r="O95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28</v>
      </c>
      <c r="Q95" s="2"/>
      <c r="R95" s="2"/>
      <c r="S95" s="3"/>
    </row>
    <row r="96" spans="2:19" x14ac:dyDescent="0.3">
      <c r="B96" s="1"/>
      <c r="C96" s="22">
        <f t="shared" si="4"/>
        <v>85</v>
      </c>
      <c r="D96" s="2" t="str">
        <f>PR!D90</f>
        <v>INV-2026-085</v>
      </c>
      <c r="E96" s="2" t="str">
        <f>VLOOKUP(Table2[[#This Row],[Invoice Number]],Table4[[Invoice Number]:[Payment Refence]],2)</f>
        <v>Gabriel Anderson</v>
      </c>
      <c r="F96" s="27">
        <f>VLOOKUP(Table2[[#This Row],[Invoice Number]],Table4[[Invoice Number]:[Payment Refence]],3)</f>
        <v>46261</v>
      </c>
      <c r="G96" s="23">
        <f>VLOOKUP(Table2[[#This Row],[Invoice Number]],Table4[[Invoice Number]:[Payment Refence]],4)</f>
        <v>1495</v>
      </c>
      <c r="H96" s="23" t="str">
        <f>VLOOKUP(Table2[[#This Row],[Invoice Number]],Table4[[Invoice Number]:[Payment Refence]],5)</f>
        <v>Project delivery</v>
      </c>
      <c r="I96" s="48" t="str">
        <f>VLOOKUP(Table2[[#This Row],[Invoice Number]],Table4[[Invoice Number]:[Payment Refence]],6)</f>
        <v>PAY-7085</v>
      </c>
      <c r="J96" s="53">
        <f>VLOOKUP(Table2[[#This Row],[Invoice Number]],PR!$D$6:$M$110,9)</f>
        <v>747.5</v>
      </c>
      <c r="K96" s="58">
        <f>CT!K89</f>
        <v>747.5</v>
      </c>
      <c r="L9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829.72500000000002</v>
      </c>
      <c r="M96" s="51">
        <f ca="1">IF(Table2[[#This Row],[Outstanding Amount]]&gt;1,$F$8-Table2[[#This Row],[Date of invoice]],"")</f>
        <v>54</v>
      </c>
      <c r="N96" s="2">
        <f>CT!M89</f>
        <v>30</v>
      </c>
      <c r="O96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24</v>
      </c>
      <c r="Q96" s="2"/>
      <c r="R96" s="2"/>
      <c r="S96" s="3"/>
    </row>
    <row r="97" spans="2:19" x14ac:dyDescent="0.3">
      <c r="B97" s="1"/>
      <c r="C97" s="22">
        <f t="shared" si="4"/>
        <v>86</v>
      </c>
      <c r="D97" s="2" t="str">
        <f>PR!D91</f>
        <v>INV-2026-086</v>
      </c>
      <c r="E97" s="2" t="str">
        <f>VLOOKUP(Table2[[#This Row],[Invoice Number]],Table4[[Invoice Number]:[Payment Refence]],2)</f>
        <v>Martha Thomas</v>
      </c>
      <c r="F97" s="27">
        <f>VLOOKUP(Table2[[#This Row],[Invoice Number]],Table4[[Invoice Number]:[Payment Refence]],3)</f>
        <v>46266</v>
      </c>
      <c r="G97" s="23">
        <f>VLOOKUP(Table2[[#This Row],[Invoice Number]],Table4[[Invoice Number]:[Payment Refence]],4)</f>
        <v>585.25</v>
      </c>
      <c r="H97" s="23" t="str">
        <f>VLOOKUP(Table2[[#This Row],[Invoice Number]],Table4[[Invoice Number]:[Payment Refence]],5)</f>
        <v>Marketing services</v>
      </c>
      <c r="I97" s="48" t="str">
        <f>VLOOKUP(Table2[[#This Row],[Invoice Number]],Table4[[Invoice Number]:[Payment Refence]],6)</f>
        <v>PAY-7086</v>
      </c>
      <c r="J97" s="53">
        <f>VLOOKUP(Table2[[#This Row],[Invoice Number]],PR!$D$6:$M$110,9)</f>
        <v>292.625</v>
      </c>
      <c r="K97" s="58">
        <f>CT!K90</f>
        <v>292.625</v>
      </c>
      <c r="L9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316.03500000000003</v>
      </c>
      <c r="M97" s="51">
        <f ca="1">IF(Table2[[#This Row],[Outstanding Amount]]&gt;1,$F$8-Table2[[#This Row],[Date of invoice]],"")</f>
        <v>49</v>
      </c>
      <c r="N97" s="2">
        <f>CT!M90</f>
        <v>30</v>
      </c>
      <c r="O9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19</v>
      </c>
      <c r="Q97" s="2"/>
      <c r="R97" s="2"/>
      <c r="S97" s="3"/>
    </row>
    <row r="98" spans="2:19" x14ac:dyDescent="0.3">
      <c r="B98" s="1"/>
      <c r="C98" s="22">
        <f t="shared" si="4"/>
        <v>87</v>
      </c>
      <c r="D98" s="2" t="str">
        <f>PR!D92</f>
        <v>INV-2026-087</v>
      </c>
      <c r="E98" s="2" t="str">
        <f>VLOOKUP(Table2[[#This Row],[Invoice Number]],Table4[[Invoice Number]:[Payment Refence]],2)</f>
        <v>Patrick Jackson</v>
      </c>
      <c r="F98" s="27">
        <f>VLOOKUP(Table2[[#This Row],[Invoice Number]],Table4[[Invoice Number]:[Payment Refence]],3)</f>
        <v>46270</v>
      </c>
      <c r="G98" s="23">
        <f>VLOOKUP(Table2[[#This Row],[Invoice Number]],Table4[[Invoice Number]:[Payment Refence]],4)</f>
        <v>965</v>
      </c>
      <c r="H98" s="23" t="str">
        <f>VLOOKUP(Table2[[#This Row],[Invoice Number]],Table4[[Invoice Number]:[Payment Refence]],5)</f>
        <v>Maintenance services</v>
      </c>
      <c r="I98" s="48" t="str">
        <f>VLOOKUP(Table2[[#This Row],[Invoice Number]],Table4[[Invoice Number]:[Payment Refence]],6)</f>
        <v>PAY-7087</v>
      </c>
      <c r="J98" s="53">
        <f>VLOOKUP(Table2[[#This Row],[Invoice Number]],PR!$D$6:$M$110,9)</f>
        <v>482.5</v>
      </c>
      <c r="K98" s="58">
        <f>CT!K91</f>
        <v>482.5</v>
      </c>
      <c r="L9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521.1</v>
      </c>
      <c r="M98" s="51">
        <f ca="1">IF(Table2[[#This Row],[Outstanding Amount]]&gt;1,$F$8-Table2[[#This Row],[Date of invoice]],"")</f>
        <v>45</v>
      </c>
      <c r="N98" s="2">
        <f>CT!M91</f>
        <v>30</v>
      </c>
      <c r="O98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15</v>
      </c>
      <c r="Q98" s="2"/>
      <c r="R98" s="2"/>
      <c r="S98" s="3"/>
    </row>
    <row r="99" spans="2:19" x14ac:dyDescent="0.3">
      <c r="B99" s="1"/>
      <c r="C99" s="22">
        <f t="shared" ref="C99:C111" si="5">C98+1</f>
        <v>88</v>
      </c>
      <c r="D99" s="2" t="str">
        <f>PR!D93</f>
        <v>INV-2026-088</v>
      </c>
      <c r="E99" s="2" t="str">
        <f>VLOOKUP(Table2[[#This Row],[Invoice Number]],Table4[[Invoice Number]:[Payment Refence]],2)</f>
        <v>Rose White</v>
      </c>
      <c r="F99" s="27">
        <f>VLOOKUP(Table2[[#This Row],[Invoice Number]],Table4[[Invoice Number]:[Payment Refence]],3)</f>
        <v>46274</v>
      </c>
      <c r="G99" s="23">
        <f>VLOOKUP(Table2[[#This Row],[Invoice Number]],Table4[[Invoice Number]:[Payment Refence]],4)</f>
        <v>1820.5</v>
      </c>
      <c r="H99" s="23" t="str">
        <f>VLOOKUP(Table2[[#This Row],[Invoice Number]],Table4[[Invoice Number]:[Payment Refence]],5)</f>
        <v>Software licence</v>
      </c>
      <c r="I99" s="48" t="str">
        <f>VLOOKUP(Table2[[#This Row],[Invoice Number]],Table4[[Invoice Number]:[Payment Refence]],6)</f>
        <v>PAY-7088</v>
      </c>
      <c r="J99" s="53">
        <f>VLOOKUP(Table2[[#This Row],[Invoice Number]],PR!$D$6:$M$110,9)</f>
        <v>910.25</v>
      </c>
      <c r="K99" s="58">
        <f>CT!K92</f>
        <v>910.25</v>
      </c>
      <c r="L9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955.76250000000005</v>
      </c>
      <c r="M99" s="51">
        <f ca="1">IF(Table2[[#This Row],[Outstanding Amount]]&gt;1,$F$8-Table2[[#This Row],[Date of invoice]],"")</f>
        <v>41</v>
      </c>
      <c r="N99" s="2">
        <f>CT!M92</f>
        <v>30</v>
      </c>
      <c r="O9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11</v>
      </c>
      <c r="Q99" s="2"/>
      <c r="R99" s="2"/>
      <c r="S99" s="3"/>
    </row>
    <row r="100" spans="2:19" x14ac:dyDescent="0.3">
      <c r="B100" s="1"/>
      <c r="C100" s="22">
        <f t="shared" si="5"/>
        <v>89</v>
      </c>
      <c r="D100" s="2" t="str">
        <f>PR!D94</f>
        <v>INV-2026-089</v>
      </c>
      <c r="E100" s="2" t="str">
        <f>VLOOKUP(Table2[[#This Row],[Invoice Number]],Table4[[Invoice Number]:[Payment Refence]],2)</f>
        <v>Andrew Harris</v>
      </c>
      <c r="F100" s="27">
        <f>VLOOKUP(Table2[[#This Row],[Invoice Number]],Table4[[Invoice Number]:[Payment Refence]],3)</f>
        <v>46278</v>
      </c>
      <c r="G100" s="23">
        <f>VLOOKUP(Table2[[#This Row],[Invoice Number]],Table4[[Invoice Number]:[Payment Refence]],4)</f>
        <v>310</v>
      </c>
      <c r="H100" s="23" t="str">
        <f>VLOOKUP(Table2[[#This Row],[Invoice Number]],Table4[[Invoice Number]:[Payment Refence]],5)</f>
        <v>Stationery order</v>
      </c>
      <c r="I100" s="48" t="str">
        <f>VLOOKUP(Table2[[#This Row],[Invoice Number]],Table4[[Invoice Number]:[Payment Refence]],6)</f>
        <v>PAY-7089</v>
      </c>
      <c r="J100" s="53">
        <f>VLOOKUP(Table2[[#This Row],[Invoice Number]],PR!$D$6:$M$110,9)</f>
        <v>155</v>
      </c>
      <c r="K100" s="58">
        <f>CT!K93</f>
        <v>155</v>
      </c>
      <c r="L10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158.1</v>
      </c>
      <c r="M100" s="51">
        <f ca="1">IF(Table2[[#This Row],[Outstanding Amount]]&gt;1,$F$8-Table2[[#This Row],[Date of invoice]],"")</f>
        <v>37</v>
      </c>
      <c r="N100" s="2">
        <f>CT!M93</f>
        <v>30</v>
      </c>
      <c r="O100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7</v>
      </c>
      <c r="Q100" s="2"/>
      <c r="R100" s="2"/>
      <c r="S100" s="3"/>
    </row>
    <row r="101" spans="2:19" x14ac:dyDescent="0.3">
      <c r="B101" s="1"/>
      <c r="C101" s="22">
        <f t="shared" si="5"/>
        <v>90</v>
      </c>
      <c r="D101" s="2" t="str">
        <f>PR!D95</f>
        <v>INV-2026-090</v>
      </c>
      <c r="E101" s="2" t="str">
        <f>VLOOKUP(Table2[[#This Row],[Invoice Number]],Table4[[Invoice Number]:[Payment Refence]],2)</f>
        <v>Edith Martin</v>
      </c>
      <c r="F101" s="27">
        <f>VLOOKUP(Table2[[#This Row],[Invoice Number]],Table4[[Invoice Number]:[Payment Refence]],3)</f>
        <v>46282</v>
      </c>
      <c r="G101" s="23">
        <f>VLOOKUP(Table2[[#This Row],[Invoice Number]],Table4[[Invoice Number]:[Payment Refence]],4)</f>
        <v>1265.75</v>
      </c>
      <c r="H101" s="23" t="str">
        <f>VLOOKUP(Table2[[#This Row],[Invoice Number]],Table4[[Invoice Number]:[Payment Refence]],5)</f>
        <v>Training services</v>
      </c>
      <c r="I101" s="48" t="str">
        <f>VLOOKUP(Table2[[#This Row],[Invoice Number]],Table4[[Invoice Number]:[Payment Refence]],6)</f>
        <v>PAY-7090</v>
      </c>
      <c r="J101" s="53">
        <f>VLOOKUP(Table2[[#This Row],[Invoice Number]],PR!$D$6:$M$110,9)</f>
        <v>632.875</v>
      </c>
      <c r="K101" s="58">
        <f>CT!K94</f>
        <v>632.875</v>
      </c>
      <c r="L10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639.20375000000001</v>
      </c>
      <c r="M101" s="51">
        <f ca="1">IF(Table2[[#This Row],[Outstanding Amount]]&gt;1,$F$8-Table2[[#This Row],[Date of invoice]],"")</f>
        <v>33</v>
      </c>
      <c r="N101" s="2">
        <f>CT!M94</f>
        <v>30</v>
      </c>
      <c r="O101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</v>
      </c>
      <c r="Q101" s="2"/>
      <c r="R101" s="2"/>
      <c r="S101" s="3"/>
    </row>
    <row r="102" spans="2:19" x14ac:dyDescent="0.3">
      <c r="B102" s="1"/>
      <c r="C102" s="22">
        <f t="shared" si="5"/>
        <v>91</v>
      </c>
      <c r="D102" s="2" t="str">
        <f>PR!D96</f>
        <v>INV-2026-091</v>
      </c>
      <c r="E102" s="2" t="str">
        <f>VLOOKUP(Table2[[#This Row],[Invoice Number]],Table4[[Invoice Number]:[Payment Refence]],2)</f>
        <v>Matthew Moore</v>
      </c>
      <c r="F102" s="27">
        <f>VLOOKUP(Table2[[#This Row],[Invoice Number]],Table4[[Invoice Number]:[Payment Refence]],3)</f>
        <v>46286</v>
      </c>
      <c r="G102" s="23">
        <f>VLOOKUP(Table2[[#This Row],[Invoice Number]],Table4[[Invoice Number]:[Payment Refence]],4)</f>
        <v>695</v>
      </c>
      <c r="H102" s="23" t="str">
        <f>VLOOKUP(Table2[[#This Row],[Invoice Number]],Table4[[Invoice Number]:[Payment Refence]],5)</f>
        <v>Office supplies</v>
      </c>
      <c r="I102" s="48" t="str">
        <f>VLOOKUP(Table2[[#This Row],[Invoice Number]],Table4[[Invoice Number]:[Payment Refence]],6)</f>
        <v>PAY-7091</v>
      </c>
      <c r="J102" s="53">
        <f>VLOOKUP(Table2[[#This Row],[Invoice Number]],PR!$D$6:$M$110,9)</f>
        <v>347.5</v>
      </c>
      <c r="K102" s="58">
        <f>CT!K95</f>
        <v>347.5</v>
      </c>
      <c r="L102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347.5</v>
      </c>
      <c r="M102" s="51">
        <f ca="1">IF(Table2[[#This Row],[Outstanding Amount]]&gt;1,$F$8-Table2[[#This Row],[Date of invoice]],"")</f>
        <v>29</v>
      </c>
      <c r="N102" s="2">
        <f>CT!M95</f>
        <v>30</v>
      </c>
      <c r="O102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2" s="2"/>
      <c r="R102" s="2"/>
      <c r="S102" s="3"/>
    </row>
    <row r="103" spans="2:19" x14ac:dyDescent="0.3">
      <c r="B103" s="1"/>
      <c r="C103" s="22">
        <f t="shared" si="5"/>
        <v>92</v>
      </c>
      <c r="D103" s="2" t="str">
        <f>PR!D97</f>
        <v>INV-2026-092</v>
      </c>
      <c r="E103" s="2" t="str">
        <f>VLOOKUP(Table2[[#This Row],[Invoice Number]],Table4[[Invoice Number]:[Payment Refence]],2)</f>
        <v>Sarah Taylor</v>
      </c>
      <c r="F103" s="27">
        <f>VLOOKUP(Table2[[#This Row],[Invoice Number]],Table4[[Invoice Number]:[Payment Refence]],3)</f>
        <v>46290</v>
      </c>
      <c r="G103" s="23">
        <f>VLOOKUP(Table2[[#This Row],[Invoice Number]],Table4[[Invoice Number]:[Payment Refence]],4)</f>
        <v>2190.25</v>
      </c>
      <c r="H103" s="23" t="str">
        <f>VLOOKUP(Table2[[#This Row],[Invoice Number]],Table4[[Invoice Number]:[Payment Refence]],5)</f>
        <v>Consulting services</v>
      </c>
      <c r="I103" s="48" t="str">
        <f>VLOOKUP(Table2[[#This Row],[Invoice Number]],Table4[[Invoice Number]:[Payment Refence]],6)</f>
        <v>PAY-7092</v>
      </c>
      <c r="J103" s="53">
        <f>VLOOKUP(Table2[[#This Row],[Invoice Number]],PR!$D$6:$M$110,9)</f>
        <v>1095.125</v>
      </c>
      <c r="K103" s="58">
        <f>CT!K96</f>
        <v>1095.125</v>
      </c>
      <c r="L103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1095.125</v>
      </c>
      <c r="M103" s="51">
        <f ca="1">IF(Table2[[#This Row],[Outstanding Amount]]&gt;1,$F$8-Table2[[#This Row],[Date of invoice]],"")</f>
        <v>25</v>
      </c>
      <c r="N103" s="2">
        <f>CT!M96</f>
        <v>30</v>
      </c>
      <c r="O103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3" s="2"/>
      <c r="R103" s="2"/>
      <c r="S103" s="3"/>
    </row>
    <row r="104" spans="2:19" x14ac:dyDescent="0.3">
      <c r="B104" s="1"/>
      <c r="C104" s="22">
        <f t="shared" si="5"/>
        <v>93</v>
      </c>
      <c r="D104" s="2" t="str">
        <f>PR!D98</f>
        <v>INV-2026-093</v>
      </c>
      <c r="E104" s="2" t="str">
        <f>VLOOKUP(Table2[[#This Row],[Invoice Number]],Table4[[Invoice Number]:[Payment Refence]],2)</f>
        <v>Anthony Anderson</v>
      </c>
      <c r="F104" s="27">
        <f>VLOOKUP(Table2[[#This Row],[Invoice Number]],Table4[[Invoice Number]:[Payment Refence]],3)</f>
        <v>46294</v>
      </c>
      <c r="G104" s="23">
        <f>VLOOKUP(Table2[[#This Row],[Invoice Number]],Table4[[Invoice Number]:[Payment Refence]],4)</f>
        <v>830</v>
      </c>
      <c r="H104" s="23" t="str">
        <f>VLOOKUP(Table2[[#This Row],[Invoice Number]],Table4[[Invoice Number]:[Payment Refence]],5)</f>
        <v>Equipment purchase</v>
      </c>
      <c r="I104" s="48" t="str">
        <f>VLOOKUP(Table2[[#This Row],[Invoice Number]],Table4[[Invoice Number]:[Payment Refence]],6)</f>
        <v>PAY-7093</v>
      </c>
      <c r="J104" s="53">
        <f>VLOOKUP(Table2[[#This Row],[Invoice Number]],PR!$D$6:$M$110,9)</f>
        <v>830</v>
      </c>
      <c r="K104" s="58" t="str">
        <f>CT!K97</f>
        <v>Paid All</v>
      </c>
      <c r="L104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830</v>
      </c>
      <c r="M104" s="51">
        <f ca="1">IF(Table2[[#This Row],[Outstanding Amount]]&gt;1,$F$8-Table2[[#This Row],[Date of invoice]],"")</f>
        <v>21</v>
      </c>
      <c r="N104" s="2">
        <f>CT!M97</f>
        <v>30</v>
      </c>
      <c r="O104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4" s="2"/>
      <c r="R104" s="2"/>
      <c r="S104" s="3"/>
    </row>
    <row r="105" spans="2:19" x14ac:dyDescent="0.3">
      <c r="B105" s="1"/>
      <c r="C105" s="22">
        <f t="shared" si="5"/>
        <v>94</v>
      </c>
      <c r="D105" s="2" t="str">
        <f>PR!D99</f>
        <v>INV-2026-094</v>
      </c>
      <c r="E105" s="2" t="str">
        <f>VLOOKUP(Table2[[#This Row],[Invoice Number]],Table4[[Invoice Number]:[Payment Refence]],2)</f>
        <v>Jane Thomas</v>
      </c>
      <c r="F105" s="27">
        <f>VLOOKUP(Table2[[#This Row],[Invoice Number]],Table4[[Invoice Number]:[Payment Refence]],3)</f>
        <v>46299</v>
      </c>
      <c r="G105" s="23">
        <f>VLOOKUP(Table2[[#This Row],[Invoice Number]],Table4[[Invoice Number]:[Payment Refence]],4)</f>
        <v>455.5</v>
      </c>
      <c r="H105" s="23" t="str">
        <f>VLOOKUP(Table2[[#This Row],[Invoice Number]],Table4[[Invoice Number]:[Payment Refence]],5)</f>
        <v>Monthly subscription</v>
      </c>
      <c r="I105" s="48" t="str">
        <f>VLOOKUP(Table2[[#This Row],[Invoice Number]],Table4[[Invoice Number]:[Payment Refence]],6)</f>
        <v>PAY-7094</v>
      </c>
      <c r="J105" s="53">
        <f>VLOOKUP(Table2[[#This Row],[Invoice Number]],PR!$D$6:$M$110,9)</f>
        <v>227.75</v>
      </c>
      <c r="K105" s="58">
        <f>CT!K98</f>
        <v>227.75</v>
      </c>
      <c r="L105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227.75</v>
      </c>
      <c r="M105" s="51">
        <f ca="1">IF(Table2[[#This Row],[Outstanding Amount]]&gt;1,$F$8-Table2[[#This Row],[Date of invoice]],"")</f>
        <v>16</v>
      </c>
      <c r="N105" s="2">
        <f>CT!M98</f>
        <v>30</v>
      </c>
      <c r="O105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5" s="2"/>
      <c r="R105" s="2"/>
      <c r="S105" s="3"/>
    </row>
    <row r="106" spans="2:19" x14ac:dyDescent="0.3">
      <c r="B106" s="1"/>
      <c r="C106" s="22">
        <f t="shared" si="5"/>
        <v>95</v>
      </c>
      <c r="D106" s="2" t="str">
        <f>PR!D100</f>
        <v>INV-2026-095</v>
      </c>
      <c r="E106" s="2" t="str">
        <f>VLOOKUP(Table2[[#This Row],[Invoice Number]],Table4[[Invoice Number]:[Payment Refence]],2)</f>
        <v>Peter Jackson</v>
      </c>
      <c r="F106" s="27">
        <f>VLOOKUP(Table2[[#This Row],[Invoice Number]],Table4[[Invoice Number]:[Payment Refence]],3)</f>
        <v>46302</v>
      </c>
      <c r="G106" s="23">
        <f>VLOOKUP(Table2[[#This Row],[Invoice Number]],Table4[[Invoice Number]:[Payment Refence]],4)</f>
        <v>2575</v>
      </c>
      <c r="H106" s="23" t="str">
        <f>VLOOKUP(Table2[[#This Row],[Invoice Number]],Table4[[Invoice Number]:[Payment Refence]],5)</f>
        <v>Project delivery</v>
      </c>
      <c r="I106" s="48" t="str">
        <f>VLOOKUP(Table2[[#This Row],[Invoice Number]],Table4[[Invoice Number]:[Payment Refence]],6)</f>
        <v>PAY-7095</v>
      </c>
      <c r="J106" s="53">
        <f>VLOOKUP(Table2[[#This Row],[Invoice Number]],PR!$D$6:$M$110,9)</f>
        <v>1287.5</v>
      </c>
      <c r="K106" s="58">
        <f>CT!K99</f>
        <v>1287.5</v>
      </c>
      <c r="L106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1287.5</v>
      </c>
      <c r="M106" s="51">
        <f ca="1">IF(Table2[[#This Row],[Outstanding Amount]]&gt;1,$F$8-Table2[[#This Row],[Date of invoice]],"")</f>
        <v>13</v>
      </c>
      <c r="N106" s="2">
        <f>CT!M99</f>
        <v>30</v>
      </c>
      <c r="O106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6" s="2"/>
      <c r="R106" s="2"/>
      <c r="S106" s="3"/>
    </row>
    <row r="107" spans="2:19" x14ac:dyDescent="0.3">
      <c r="B107" s="1"/>
      <c r="C107" s="22">
        <f t="shared" si="5"/>
        <v>96</v>
      </c>
      <c r="D107" s="2" t="str">
        <f>PR!D101</f>
        <v>INV-2026-096</v>
      </c>
      <c r="E107" s="2" t="str">
        <f>VLOOKUP(Table2[[#This Row],[Invoice Number]],Table4[[Invoice Number]:[Payment Refence]],2)</f>
        <v>Lucy White</v>
      </c>
      <c r="F107" s="27">
        <f>VLOOKUP(Table2[[#This Row],[Invoice Number]],Table4[[Invoice Number]:[Payment Refence]],3)</f>
        <v>46267</v>
      </c>
      <c r="G107" s="23">
        <f>VLOOKUP(Table2[[#This Row],[Invoice Number]],Table4[[Invoice Number]:[Payment Refence]],4)</f>
        <v>725.25</v>
      </c>
      <c r="H107" s="23" t="str">
        <f>VLOOKUP(Table2[[#This Row],[Invoice Number]],Table4[[Invoice Number]:[Payment Refence]],5)</f>
        <v>Marketing services</v>
      </c>
      <c r="I107" s="48" t="str">
        <f>VLOOKUP(Table2[[#This Row],[Invoice Number]],Table4[[Invoice Number]:[Payment Refence]],6)</f>
        <v>PAY-7096</v>
      </c>
      <c r="J107" s="53">
        <f>VLOOKUP(Table2[[#This Row],[Invoice Number]],PR!$D$6:$M$110,9)</f>
        <v>362.625</v>
      </c>
      <c r="K107" s="58">
        <f>CT!K100</f>
        <v>362.625</v>
      </c>
      <c r="L107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391.63499999999999</v>
      </c>
      <c r="M107" s="51">
        <f ca="1">IF(Table2[[#This Row],[Outstanding Amount]]&gt;1,$F$8-Table2[[#This Row],[Date of invoice]],"")</f>
        <v>48</v>
      </c>
      <c r="N107" s="2">
        <f>CT!M100</f>
        <v>30</v>
      </c>
      <c r="O107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18</v>
      </c>
      <c r="Q107" s="2"/>
      <c r="R107" s="2"/>
      <c r="S107" s="3"/>
    </row>
    <row r="108" spans="2:19" x14ac:dyDescent="0.3">
      <c r="B108" s="1"/>
      <c r="C108" s="22">
        <f t="shared" si="5"/>
        <v>97</v>
      </c>
      <c r="D108" s="2" t="str">
        <f>PR!D102</f>
        <v>INV-2026-097</v>
      </c>
      <c r="E108" s="2" t="str">
        <f>VLOOKUP(Table2[[#This Row],[Invoice Number]],Table4[[Invoice Number]:[Payment Refence]],2)</f>
        <v>Stephen Harris</v>
      </c>
      <c r="F108" s="27">
        <f>VLOOKUP(Table2[[#This Row],[Invoice Number]],Table4[[Invoice Number]:[Payment Refence]],3)</f>
        <v>46302</v>
      </c>
      <c r="G108" s="23">
        <f>VLOOKUP(Table2[[#This Row],[Invoice Number]],Table4[[Invoice Number]:[Payment Refence]],4)</f>
        <v>1035</v>
      </c>
      <c r="H108" s="23" t="str">
        <f>VLOOKUP(Table2[[#This Row],[Invoice Number]],Table4[[Invoice Number]:[Payment Refence]],5)</f>
        <v>Maintenance services</v>
      </c>
      <c r="I108" s="48" t="str">
        <f>VLOOKUP(Table2[[#This Row],[Invoice Number]],Table4[[Invoice Number]:[Payment Refence]],6)</f>
        <v>PAY-7097</v>
      </c>
      <c r="J108" s="53">
        <f>VLOOKUP(Table2[[#This Row],[Invoice Number]],PR!$D$6:$M$110,9)</f>
        <v>517.5</v>
      </c>
      <c r="K108" s="58">
        <f>CT!K101</f>
        <v>517.5</v>
      </c>
      <c r="L108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517.5</v>
      </c>
      <c r="M108" s="51">
        <f ca="1">IF(Table2[[#This Row],[Outstanding Amount]]&gt;1,$F$8-Table2[[#This Row],[Date of invoice]],"")</f>
        <v>13</v>
      </c>
      <c r="N108" s="2">
        <f>CT!M101</f>
        <v>30</v>
      </c>
      <c r="O108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08" s="2"/>
      <c r="R108" s="2"/>
      <c r="S108" s="3"/>
    </row>
    <row r="109" spans="2:19" x14ac:dyDescent="0.3">
      <c r="B109" s="1"/>
      <c r="C109" s="22">
        <f t="shared" si="5"/>
        <v>98</v>
      </c>
      <c r="D109" s="2" t="str">
        <f>PR!D103</f>
        <v>INV-2026-098</v>
      </c>
      <c r="E109" s="2" t="str">
        <f>VLOOKUP(Table2[[#This Row],[Invoice Number]],Table4[[Invoice Number]:[Payment Refence]],2)</f>
        <v>Anna Martin</v>
      </c>
      <c r="F109" s="27">
        <f>VLOOKUP(Table2[[#This Row],[Invoice Number]],Table4[[Invoice Number]:[Payment Refence]],3)</f>
        <v>46224</v>
      </c>
      <c r="G109" s="23">
        <f>VLOOKUP(Table2[[#This Row],[Invoice Number]],Table4[[Invoice Number]:[Payment Refence]],4)</f>
        <v>1695.5</v>
      </c>
      <c r="H109" s="23" t="str">
        <f>VLOOKUP(Table2[[#This Row],[Invoice Number]],Table4[[Invoice Number]:[Payment Refence]],5)</f>
        <v>Software licence</v>
      </c>
      <c r="I109" s="48" t="str">
        <f>VLOOKUP(Table2[[#This Row],[Invoice Number]],Table4[[Invoice Number]:[Payment Refence]],6)</f>
        <v>PAY-7098</v>
      </c>
      <c r="J109" s="53">
        <f>VLOOKUP(Table2[[#This Row],[Invoice Number]],PR!$D$6:$M$110,9)</f>
        <v>847.75</v>
      </c>
      <c r="K109" s="58">
        <f>CT!K102</f>
        <v>847.75</v>
      </c>
      <c r="L109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1144.4625000000001</v>
      </c>
      <c r="M109" s="51">
        <f ca="1">IF(Table2[[#This Row],[Outstanding Amount]]&gt;1,$F$8-Table2[[#This Row],[Date of invoice]],"")</f>
        <v>91</v>
      </c>
      <c r="N109" s="2">
        <f>CT!M102</f>
        <v>30</v>
      </c>
      <c r="O109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61</v>
      </c>
      <c r="Q109" s="2"/>
      <c r="R109" s="2"/>
      <c r="S109" s="3"/>
    </row>
    <row r="110" spans="2:19" x14ac:dyDescent="0.3">
      <c r="B110" s="1"/>
      <c r="C110" s="22">
        <f t="shared" si="5"/>
        <v>99</v>
      </c>
      <c r="D110" s="2" t="str">
        <f>PR!D104</f>
        <v>INV-2026-099</v>
      </c>
      <c r="E110" s="2" t="str">
        <f>VLOOKUP(Table2[[#This Row],[Invoice Number]],Table4[[Invoice Number]:[Payment Refence]],2)</f>
        <v>Timothy Moore</v>
      </c>
      <c r="F110" s="27">
        <f>VLOOKUP(Table2[[#This Row],[Invoice Number]],Table4[[Invoice Number]:[Payment Refence]],3)</f>
        <v>46325</v>
      </c>
      <c r="G110" s="23">
        <f>VLOOKUP(Table2[[#This Row],[Invoice Number]],Table4[[Invoice Number]:[Payment Refence]],4)</f>
        <v>335.75</v>
      </c>
      <c r="H110" s="23" t="str">
        <f>VLOOKUP(Table2[[#This Row],[Invoice Number]],Table4[[Invoice Number]:[Payment Refence]],5)</f>
        <v>Stationery order</v>
      </c>
      <c r="I110" s="48" t="str">
        <f>VLOOKUP(Table2[[#This Row],[Invoice Number]],Table4[[Invoice Number]:[Payment Refence]],6)</f>
        <v>PAY-7099</v>
      </c>
      <c r="J110" s="53">
        <f>VLOOKUP(Table2[[#This Row],[Invoice Number]],PR!$D$6:$M$110,9)</f>
        <v>167.875</v>
      </c>
      <c r="K110" s="58">
        <f>CT!K103</f>
        <v>167.875</v>
      </c>
      <c r="L110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167.875</v>
      </c>
      <c r="M110" s="51">
        <f ca="1">IF(Table2[[#This Row],[Outstanding Amount]]&gt;1,$F$8-Table2[[#This Row],[Date of invoice]],"")</f>
        <v>-10</v>
      </c>
      <c r="N110" s="2">
        <f>CT!M103</f>
        <v>30</v>
      </c>
      <c r="O110" s="51" t="str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/>
      </c>
      <c r="Q110" s="2"/>
      <c r="R110" s="2"/>
      <c r="S110" s="3"/>
    </row>
    <row r="111" spans="2:19" x14ac:dyDescent="0.3">
      <c r="B111" s="1"/>
      <c r="C111" s="22">
        <f t="shared" si="5"/>
        <v>100</v>
      </c>
      <c r="D111" s="2" t="str">
        <f>PR!D105</f>
        <v>INV-2026-100</v>
      </c>
      <c r="E111" s="2" t="str">
        <f>VLOOKUP(Table2[[#This Row],[Invoice Number]],Table4[[Invoice Number]:[Payment Refence]],2)</f>
        <v>Victoria Taylor</v>
      </c>
      <c r="F111" s="27">
        <f>VLOOKUP(Table2[[#This Row],[Invoice Number]],Table4[[Invoice Number]:[Payment Refence]],3)</f>
        <v>46253</v>
      </c>
      <c r="G111" s="23">
        <f>VLOOKUP(Table2[[#This Row],[Invoice Number]],Table4[[Invoice Number]:[Payment Refence]],4)</f>
        <v>1285</v>
      </c>
      <c r="H111" s="23" t="str">
        <f>VLOOKUP(Table2[[#This Row],[Invoice Number]],Table4[[Invoice Number]:[Payment Refence]],5)</f>
        <v>Training services</v>
      </c>
      <c r="I111" s="48" t="str">
        <f>VLOOKUP(Table2[[#This Row],[Invoice Number]],Table4[[Invoice Number]:[Payment Refence]],6)</f>
        <v>PAY-7100</v>
      </c>
      <c r="J111" s="53">
        <f>VLOOKUP(Table2[[#This Row],[Invoice Number]],PR!$D$6:$M$110,9)</f>
        <v>642.5</v>
      </c>
      <c r="K111" s="58">
        <f>CT!K104</f>
        <v>642.5</v>
      </c>
      <c r="L111" s="58">
        <f ca="1">IF(OR(Table2[[#This Row],[Outstanding Amount]]="Paid All",Table2[[#This Row],[Outstanding Amount]]&lt;1,Table2[[#This Row],[Due Days]]&lt;1,Table2[[#This Row],[Due Days]]=1,Table2[[#This Row],[Due Days]]=""),Table2[[#This Row],[Deposit Amount]],VLOOKUP(Table2[[#This Row],[Due Days]],$Q$8:$R$21,2)*Table2[[#This Row],[Outstanding Amount]]+Table2[[#This Row],[Outstanding Amount]])</f>
        <v>751.72500000000002</v>
      </c>
      <c r="M111" s="51">
        <f ca="1">IF(Table2[[#This Row],[Outstanding Amount]]&gt;1,$F$8-Table2[[#This Row],[Date of invoice]],"")</f>
        <v>62</v>
      </c>
      <c r="N111" s="2">
        <f>CT!M104</f>
        <v>30</v>
      </c>
      <c r="O111" s="51">
        <f ca="1">IF(OR(Table2[[#This Row],[Days Of Credit]]="",Table2[[#This Row],[Days Of Credit]]=Table2[[#This Row],[Credit Terms]],Table2[[#This Row],[Days Of Credit]]&lt;Table2[[#This Row],[Credit Terms]]),"",Table2[[#This Row],[Days Of Credit]]-Table2[[#This Row],[Credit Terms]])</f>
        <v>32</v>
      </c>
      <c r="Q111" s="2"/>
      <c r="R111" s="2"/>
      <c r="S111" s="3"/>
    </row>
    <row r="112" spans="2:19" x14ac:dyDescent="0.3">
      <c r="B112" s="1"/>
      <c r="C112" s="22"/>
      <c r="D112" s="2"/>
      <c r="E112" s="2"/>
      <c r="F112" s="27"/>
      <c r="G112" s="23"/>
      <c r="H112" s="23"/>
      <c r="I112" s="48"/>
      <c r="J112" s="53"/>
      <c r="K112" s="58"/>
      <c r="L112" s="58"/>
      <c r="M112" s="51"/>
      <c r="N112" s="2"/>
      <c r="O112" s="51"/>
      <c r="Q112" s="2"/>
      <c r="R112" s="2"/>
      <c r="S112" s="3"/>
    </row>
    <row r="113" spans="2:19" x14ac:dyDescent="0.3">
      <c r="B113" s="1"/>
      <c r="C113" s="22"/>
      <c r="D113" s="2"/>
      <c r="E113" s="2"/>
      <c r="F113" s="27"/>
      <c r="G113" s="23"/>
      <c r="H113" s="23"/>
      <c r="I113" s="48"/>
      <c r="J113" s="53"/>
      <c r="K113" s="58"/>
      <c r="L113" s="58"/>
      <c r="M113" s="51"/>
      <c r="N113" s="2"/>
      <c r="O113" s="51"/>
      <c r="Q113" s="2"/>
      <c r="R113" s="2"/>
      <c r="S113" s="3"/>
    </row>
    <row r="114" spans="2:19" x14ac:dyDescent="0.3">
      <c r="B114" s="1"/>
      <c r="C114" s="2"/>
      <c r="E114" s="48"/>
      <c r="F114" s="27"/>
      <c r="G114" s="23"/>
      <c r="H114" s="30"/>
      <c r="I114" s="48"/>
      <c r="J114" s="53"/>
      <c r="K114" s="58"/>
      <c r="L114" s="58"/>
      <c r="M114" s="51"/>
      <c r="N114" s="2"/>
      <c r="O114" s="51"/>
      <c r="Q114" s="2"/>
      <c r="R114" s="2"/>
      <c r="S114" s="3"/>
    </row>
    <row r="115" spans="2:19" x14ac:dyDescent="0.3">
      <c r="B115" s="1"/>
      <c r="C115" s="2"/>
      <c r="E115" s="48"/>
      <c r="F115" s="27"/>
      <c r="G115" s="30"/>
      <c r="H115" s="30"/>
      <c r="I115" s="48"/>
      <c r="J115" s="53"/>
      <c r="K115" s="58"/>
      <c r="L115" s="58"/>
      <c r="M115" s="51"/>
      <c r="N115" s="2"/>
      <c r="O115" s="51"/>
      <c r="Q115" s="2"/>
      <c r="R115" s="2"/>
      <c r="S115" s="3"/>
    </row>
    <row r="116" spans="2:19" x14ac:dyDescent="0.3">
      <c r="B116" s="1"/>
      <c r="C116">
        <f>C115+1</f>
        <v>1</v>
      </c>
      <c r="D116" s="48"/>
      <c r="E116" s="48"/>
      <c r="F116" s="27"/>
      <c r="G116" s="30"/>
      <c r="H116" s="30"/>
      <c r="I116" s="48"/>
      <c r="J116" s="53"/>
      <c r="K116" s="58"/>
      <c r="L116" s="58"/>
      <c r="M116" s="51"/>
      <c r="N116" s="2"/>
      <c r="O116" s="51"/>
      <c r="Q116" s="2"/>
      <c r="R116" s="2"/>
      <c r="S116" s="3"/>
    </row>
    <row r="117" spans="2:19" ht="15" thickBot="1" x14ac:dyDescent="0.35">
      <c r="B117" s="4"/>
      <c r="C117" s="2"/>
      <c r="D117" s="40"/>
      <c r="E117" s="40"/>
      <c r="F117" s="23"/>
      <c r="G117" s="35"/>
      <c r="H117" s="36"/>
      <c r="I117" s="23"/>
      <c r="N117" s="30"/>
      <c r="Q117" s="5"/>
      <c r="R117" s="5"/>
      <c r="S117" s="6"/>
    </row>
  </sheetData>
  <mergeCells count="2">
    <mergeCell ref="I6:Q6"/>
    <mergeCell ref="B2:S4"/>
  </mergeCells>
  <phoneticPr fontId="11" type="noConversion"/>
  <conditionalFormatting sqref="K12:K116">
    <cfRule type="cellIs" dxfId="13" priority="2" operator="equal">
      <formula>"Paid All"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56C4A-40C5-4FA8-AC67-229BC840D998}">
  <dimension ref="B1:AN112"/>
  <sheetViews>
    <sheetView topLeftCell="J2" zoomScale="70" workbookViewId="0">
      <selection activeCell="P18" sqref="P18"/>
    </sheetView>
  </sheetViews>
  <sheetFormatPr defaultRowHeight="14.4" x14ac:dyDescent="0.3"/>
  <cols>
    <col min="4" max="4" width="16.77734375" customWidth="1"/>
    <col min="5" max="5" width="17.33203125" customWidth="1"/>
    <col min="6" max="6" width="15.88671875" customWidth="1"/>
    <col min="7" max="7" width="17.88671875" customWidth="1"/>
    <col min="8" max="8" width="15.6640625" customWidth="1"/>
    <col min="9" max="9" width="18.21875" customWidth="1"/>
    <col min="10" max="10" width="22.21875" customWidth="1"/>
    <col min="11" max="11" width="21.21875" customWidth="1"/>
    <col min="12" max="12" width="17.33203125" customWidth="1"/>
    <col min="13" max="13" width="21.21875" customWidth="1"/>
    <col min="14" max="14" width="15.109375" customWidth="1"/>
    <col min="15" max="15" width="14.5546875" bestFit="1" customWidth="1"/>
    <col min="16" max="16" width="10.109375" bestFit="1" customWidth="1"/>
    <col min="17" max="17" width="20" bestFit="1" customWidth="1"/>
    <col min="20" max="20" width="11.21875" bestFit="1" customWidth="1"/>
  </cols>
  <sheetData>
    <row r="1" spans="2:40" ht="15" thickBot="1" x14ac:dyDescent="0.35"/>
    <row r="2" spans="2:40" x14ac:dyDescent="0.3">
      <c r="B2" s="146" t="s">
        <v>384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8"/>
    </row>
    <row r="3" spans="2:40" x14ac:dyDescent="0.3">
      <c r="B3" s="149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1"/>
    </row>
    <row r="4" spans="2:40" x14ac:dyDescent="0.3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1"/>
    </row>
    <row r="5" spans="2:40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3"/>
    </row>
    <row r="6" spans="2:40" ht="15" thickBot="1" x14ac:dyDescent="0.35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3"/>
    </row>
    <row r="7" spans="2:40" x14ac:dyDescent="0.3">
      <c r="B7" s="1"/>
      <c r="C7" s="84" t="s">
        <v>330</v>
      </c>
      <c r="D7" s="84" t="s">
        <v>333</v>
      </c>
      <c r="E7" s="84" t="s">
        <v>13</v>
      </c>
      <c r="F7" s="85" t="s">
        <v>342</v>
      </c>
      <c r="G7" s="86" t="s">
        <v>343</v>
      </c>
      <c r="H7" s="84" t="s">
        <v>336</v>
      </c>
      <c r="I7" s="84" t="s">
        <v>346</v>
      </c>
      <c r="J7" s="84" t="s">
        <v>347</v>
      </c>
      <c r="K7" s="84" t="s">
        <v>350</v>
      </c>
      <c r="L7" s="84" t="s">
        <v>340</v>
      </c>
      <c r="M7" s="84" t="s">
        <v>335</v>
      </c>
      <c r="N7" s="84" t="s">
        <v>344</v>
      </c>
      <c r="O7" s="72" t="s">
        <v>387</v>
      </c>
      <c r="P7" s="89" t="s">
        <v>386</v>
      </c>
      <c r="Q7" s="94" t="s">
        <v>391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3"/>
    </row>
    <row r="8" spans="2:40" ht="15" thickBot="1" x14ac:dyDescent="0.35">
      <c r="B8" s="1"/>
      <c r="C8" s="81">
        <v>1</v>
      </c>
      <c r="D8" s="81" t="str">
        <f>PR!D6</f>
        <v>INV-2026-001</v>
      </c>
      <c r="E8" s="81" t="str">
        <f>PR!E6</f>
        <v>Oliver Bennett</v>
      </c>
      <c r="F8" s="82">
        <f>PR!F6</f>
        <v>46311</v>
      </c>
      <c r="G8" s="81">
        <f>PR!G6</f>
        <v>450</v>
      </c>
      <c r="H8" s="81" t="str">
        <f>PR!H6</f>
        <v>Office supplies</v>
      </c>
      <c r="I8" s="81" t="str">
        <f>PR!I6</f>
        <v>PAY-7001</v>
      </c>
      <c r="J8" s="81">
        <f>PR!J6</f>
        <v>0</v>
      </c>
      <c r="K8" s="82">
        <f>PR!K6</f>
        <v>46315</v>
      </c>
      <c r="L8" s="81">
        <f>PR!L6</f>
        <v>225</v>
      </c>
      <c r="M8" s="81">
        <f>PR!M6</f>
        <v>225</v>
      </c>
      <c r="N8" s="81">
        <f ca="1">PR!N6</f>
        <v>225</v>
      </c>
      <c r="O8" s="93" t="str">
        <f>IF(Table6[[#This Row],[Outstanding Amount]]="Paid All","P",IF(Table6[[#This Row],[Outstanding Amount]]&lt;0,"U","D"))</f>
        <v>D</v>
      </c>
      <c r="P8" s="90" t="str">
        <f>IF(Table6[[#This Row],[Status Code]]="D","DUE",IF(Table6[[#This Row],[Status Code]]="U","UNPAID","PAID"))</f>
        <v>DUE</v>
      </c>
      <c r="Q8" s="95" t="str">
        <f>IF(Table6[[#This Row],[Status ]]="UNPAID",Table6[[#This Row],[Outstanding Amount]],"")</f>
        <v/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3"/>
    </row>
    <row r="9" spans="2:40" ht="15" thickBot="1" x14ac:dyDescent="0.35">
      <c r="B9" s="1"/>
      <c r="C9" s="83">
        <f t="shared" ref="C9:C72" si="0">C8+1</f>
        <v>2</v>
      </c>
      <c r="D9" s="83" t="str">
        <f>PR!D7</f>
        <v>INV-2026-002</v>
      </c>
      <c r="E9" s="81" t="str">
        <f>PR!E7</f>
        <v>Amelia Carter</v>
      </c>
      <c r="F9" s="82">
        <f>PR!F7</f>
        <v>46254</v>
      </c>
      <c r="G9" s="81">
        <f>PR!G7</f>
        <v>1250.5</v>
      </c>
      <c r="H9" s="81" t="str">
        <f>PR!H7</f>
        <v>Consulting services</v>
      </c>
      <c r="I9" s="81" t="str">
        <f>PR!I7</f>
        <v>PAY-7002</v>
      </c>
      <c r="J9" s="81">
        <f>PR!J7</f>
        <v>0</v>
      </c>
      <c r="K9" s="82">
        <f>PR!K7</f>
        <v>46258</v>
      </c>
      <c r="L9" s="81">
        <f>PR!L7</f>
        <v>625.25</v>
      </c>
      <c r="M9" s="81">
        <f>PR!M7</f>
        <v>625.25</v>
      </c>
      <c r="N9" s="81">
        <f ca="1">PR!N7</f>
        <v>731.54250000000002</v>
      </c>
      <c r="O9" s="93" t="str">
        <f>IF(Table6[[#This Row],[Outstanding Amount]]="Paid All","P",IF(Table6[[#This Row],[Outstanding Amount]]&lt;0,"U","D"))</f>
        <v>D</v>
      </c>
      <c r="P9" s="90" t="str">
        <f>IF(Table6[[#This Row],[Status Code]]="D","DUE",IF(Table6[[#This Row],[Status Code]]="U","UNPAID","PAID"))</f>
        <v>DUE</v>
      </c>
      <c r="Q9" s="95" t="str">
        <f>IF(Table6[[#This Row],[Status ]]="UNPAID",Table6[[#This Row],[Outstanding Amount]],"")</f>
        <v/>
      </c>
      <c r="R9" s="2"/>
      <c r="S9" s="2"/>
      <c r="T9" s="98" t="s">
        <v>387</v>
      </c>
      <c r="U9" s="99" t="s">
        <v>385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3"/>
    </row>
    <row r="10" spans="2:40" x14ac:dyDescent="0.3">
      <c r="B10" s="1"/>
      <c r="C10" s="81">
        <f t="shared" si="0"/>
        <v>3</v>
      </c>
      <c r="D10" s="81" t="str">
        <f>PR!D8</f>
        <v>INV-2026-003</v>
      </c>
      <c r="E10" s="81" t="str">
        <f>PR!E8</f>
        <v>George Mitchell</v>
      </c>
      <c r="F10" s="82">
        <f>PR!F8</f>
        <v>46259</v>
      </c>
      <c r="G10" s="81">
        <f>PR!G8</f>
        <v>785.25</v>
      </c>
      <c r="H10" s="81" t="str">
        <f>PR!H8</f>
        <v>Equipment purchase</v>
      </c>
      <c r="I10" s="81" t="str">
        <f>PR!I8</f>
        <v>PAY-7003</v>
      </c>
      <c r="J10" s="81">
        <f>PR!J8</f>
        <v>785.25</v>
      </c>
      <c r="K10" s="82">
        <f>PR!K8</f>
        <v>46261</v>
      </c>
      <c r="L10" s="81">
        <f>PR!L8</f>
        <v>785.25</v>
      </c>
      <c r="M10" s="81" t="str">
        <f>PR!M8</f>
        <v>Paid All</v>
      </c>
      <c r="N10" s="81">
        <f ca="1">PR!N8</f>
        <v>785.25</v>
      </c>
      <c r="O10" s="93" t="str">
        <f>IF(Table6[[#This Row],[Outstanding Amount]]="Paid All","P",IF(Table6[[#This Row],[Outstanding Amount]]&lt;0,"U","D"))</f>
        <v>P</v>
      </c>
      <c r="P10" s="90" t="str">
        <f>IF(Table6[[#This Row],[Status Code]]="D","DUE",IF(Table6[[#This Row],[Status Code]]="U","UNPAID","PAID"))</f>
        <v>PAID</v>
      </c>
      <c r="Q10" s="95" t="str">
        <f>IF(Table6[[#This Row],[Status ]]="UNPAID",Table6[[#This Row],[Outstanding Amount]],"")</f>
        <v/>
      </c>
      <c r="R10" s="2"/>
      <c r="S10" s="2"/>
      <c r="T10" s="29" t="s">
        <v>388</v>
      </c>
      <c r="U10" s="100" t="s">
        <v>380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3"/>
    </row>
    <row r="11" spans="2:40" x14ac:dyDescent="0.3">
      <c r="B11" s="1"/>
      <c r="C11" s="83">
        <f t="shared" si="0"/>
        <v>4</v>
      </c>
      <c r="D11" s="83" t="str">
        <f>PR!D9</f>
        <v>INV-2026-004</v>
      </c>
      <c r="E11" s="81" t="str">
        <f>PR!E9</f>
        <v>Isla Thompson</v>
      </c>
      <c r="F11" s="82">
        <f>PR!F9</f>
        <v>46267</v>
      </c>
      <c r="G11" s="81">
        <f>PR!G9</f>
        <v>320</v>
      </c>
      <c r="H11" s="81" t="str">
        <f>PR!H9</f>
        <v>Monthly subscription</v>
      </c>
      <c r="I11" s="81" t="str">
        <f>PR!I9</f>
        <v>PAY-7004</v>
      </c>
      <c r="J11" s="81">
        <f>PR!J9</f>
        <v>0</v>
      </c>
      <c r="K11" s="82">
        <f>PR!K9</f>
        <v>46269</v>
      </c>
      <c r="L11" s="81">
        <f>PR!L9</f>
        <v>160</v>
      </c>
      <c r="M11" s="81">
        <f>PR!M9</f>
        <v>160</v>
      </c>
      <c r="N11" s="81">
        <f ca="1">PR!N9</f>
        <v>172.8</v>
      </c>
      <c r="O11" s="93" t="str">
        <f>IF(Table6[[#This Row],[Outstanding Amount]]="Paid All","P",IF(Table6[[#This Row],[Outstanding Amount]]&lt;0,"U","D"))</f>
        <v>D</v>
      </c>
      <c r="P11" s="90" t="str">
        <f>IF(Table6[[#This Row],[Status Code]]="D","DUE",IF(Table6[[#This Row],[Status Code]]="U","UNPAID","PAID"))</f>
        <v>DUE</v>
      </c>
      <c r="Q11" s="95" t="str">
        <f>IF(Table6[[#This Row],[Status ]]="UNPAID",Table6[[#This Row],[Outstanding Amount]],"")</f>
        <v/>
      </c>
      <c r="R11" s="2"/>
      <c r="S11" s="2"/>
      <c r="T11" s="29" t="s">
        <v>389</v>
      </c>
      <c r="U11" s="100" t="s">
        <v>382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3"/>
    </row>
    <row r="12" spans="2:40" ht="15" thickBot="1" x14ac:dyDescent="0.35">
      <c r="B12" s="1"/>
      <c r="C12" s="81">
        <f t="shared" si="0"/>
        <v>5</v>
      </c>
      <c r="D12" s="81" t="str">
        <f>PR!D10</f>
        <v>INV-2026-005</v>
      </c>
      <c r="E12" s="81" t="str">
        <f>PR!E10</f>
        <v>Harry Wilson</v>
      </c>
      <c r="F12" s="82">
        <f>PR!F10</f>
        <v>46270</v>
      </c>
      <c r="G12" s="81">
        <f>PR!G10</f>
        <v>2100</v>
      </c>
      <c r="H12" s="81" t="str">
        <f>PR!H10</f>
        <v>Project delivery</v>
      </c>
      <c r="I12" s="81" t="str">
        <f>PR!I10</f>
        <v>PAY-7005</v>
      </c>
      <c r="J12" s="81">
        <f>PR!J10</f>
        <v>0</v>
      </c>
      <c r="K12" s="82">
        <f>PR!K10</f>
        <v>46273</v>
      </c>
      <c r="L12" s="81">
        <f>PR!L10</f>
        <v>1050</v>
      </c>
      <c r="M12" s="81">
        <f>PR!M10</f>
        <v>1050</v>
      </c>
      <c r="N12" s="81">
        <f ca="1">PR!N10</f>
        <v>1134</v>
      </c>
      <c r="O12" s="93" t="str">
        <f>IF(Table6[[#This Row],[Outstanding Amount]]="Paid All","P",IF(Table6[[#This Row],[Outstanding Amount]]&lt;0,"U","D"))</f>
        <v>D</v>
      </c>
      <c r="P12" s="90" t="str">
        <f>IF(Table6[[#This Row],[Status Code]]="D","DUE",IF(Table6[[#This Row],[Status Code]]="U","UNPAID","PAID"))</f>
        <v>DUE</v>
      </c>
      <c r="Q12" s="95" t="str">
        <f>IF(Table6[[#This Row],[Status ]]="UNPAID",Table6[[#This Row],[Outstanding Amount]],"")</f>
        <v/>
      </c>
      <c r="R12" s="2"/>
      <c r="S12" s="2"/>
      <c r="T12" s="92" t="s">
        <v>390</v>
      </c>
      <c r="U12" s="101" t="s">
        <v>392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3"/>
    </row>
    <row r="13" spans="2:40" x14ac:dyDescent="0.3">
      <c r="B13" s="1"/>
      <c r="C13" s="83">
        <f t="shared" si="0"/>
        <v>6</v>
      </c>
      <c r="D13" s="83" t="str">
        <f>PR!D11</f>
        <v>INV-2026-006</v>
      </c>
      <c r="E13" s="81" t="str">
        <f>PR!E11</f>
        <v>Ava Robinson</v>
      </c>
      <c r="F13" s="82">
        <f>PR!F11</f>
        <v>46275</v>
      </c>
      <c r="G13" s="81">
        <f>PR!G11</f>
        <v>675.8</v>
      </c>
      <c r="H13" s="81" t="str">
        <f>PR!H11</f>
        <v>Marketing services</v>
      </c>
      <c r="I13" s="81" t="str">
        <f>PR!I11</f>
        <v>PAY-7006</v>
      </c>
      <c r="J13" s="81">
        <f>PR!J11</f>
        <v>0</v>
      </c>
      <c r="K13" s="82">
        <f>PR!K11</f>
        <v>46279</v>
      </c>
      <c r="L13" s="81">
        <f>PR!L11</f>
        <v>337.9</v>
      </c>
      <c r="M13" s="81">
        <f>PR!M11</f>
        <v>337.9</v>
      </c>
      <c r="N13" s="81">
        <f ca="1">PR!N11</f>
        <v>354.79499999999996</v>
      </c>
      <c r="O13" s="93" t="str">
        <f>IF(Table6[[#This Row],[Outstanding Amount]]="Paid All","P",IF(Table6[[#This Row],[Outstanding Amount]]&lt;0,"U","D"))</f>
        <v>D</v>
      </c>
      <c r="P13" s="90" t="str">
        <f>IF(Table6[[#This Row],[Status Code]]="D","DUE",IF(Table6[[#This Row],[Status Code]]="U","UNPAID","PAID"))</f>
        <v>DUE</v>
      </c>
      <c r="Q13" s="95" t="str">
        <f>IF(Table6[[#This Row],[Status ]]="UNPAID",Table6[[#This Row],[Outstanding Amount]],"")</f>
        <v/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3"/>
    </row>
    <row r="14" spans="2:40" x14ac:dyDescent="0.3">
      <c r="B14" s="1"/>
      <c r="C14" s="81">
        <f t="shared" si="0"/>
        <v>7</v>
      </c>
      <c r="D14" s="81" t="str">
        <f>PR!D12</f>
        <v>INV-2026-007</v>
      </c>
      <c r="E14" s="81" t="str">
        <f>PR!E12</f>
        <v>Noah Walker</v>
      </c>
      <c r="F14" s="82">
        <f>PR!F12</f>
        <v>46277</v>
      </c>
      <c r="G14" s="81">
        <f>PR!G12</f>
        <v>540</v>
      </c>
      <c r="H14" s="81" t="str">
        <f>PR!H12</f>
        <v>Maintenance services</v>
      </c>
      <c r="I14" s="81" t="str">
        <f>PR!I12</f>
        <v>PAY-7007</v>
      </c>
      <c r="J14" s="81">
        <f>PR!J12</f>
        <v>540</v>
      </c>
      <c r="K14" s="82">
        <f>PR!K12</f>
        <v>46280</v>
      </c>
      <c r="L14" s="81">
        <f>PR!L12</f>
        <v>540</v>
      </c>
      <c r="M14" s="81" t="str">
        <f>PR!M12</f>
        <v>Paid All</v>
      </c>
      <c r="N14" s="81">
        <f ca="1">PR!N12</f>
        <v>540</v>
      </c>
      <c r="O14" s="93" t="str">
        <f>IF(Table6[[#This Row],[Outstanding Amount]]="Paid All","P",IF(Table6[[#This Row],[Outstanding Amount]]&lt;0,"U","D"))</f>
        <v>P</v>
      </c>
      <c r="P14" s="90" t="str">
        <f>IF(Table6[[#This Row],[Status Code]]="D","DUE",IF(Table6[[#This Row],[Status Code]]="U","UNPAID","PAID"))</f>
        <v>PAID</v>
      </c>
      <c r="Q14" s="95" t="str">
        <f>IF(Table6[[#This Row],[Status ]]="UNPAID",Table6[[#This Row],[Outstanding Amount]],"")</f>
        <v/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3"/>
    </row>
    <row r="15" spans="2:40" x14ac:dyDescent="0.3">
      <c r="B15" s="1"/>
      <c r="C15" s="83">
        <f t="shared" si="0"/>
        <v>8</v>
      </c>
      <c r="D15" s="83" t="str">
        <f>PR!D13</f>
        <v>INV-2026-008</v>
      </c>
      <c r="E15" s="81" t="str">
        <f>PR!E13</f>
        <v>Grace Hall</v>
      </c>
      <c r="F15" s="82">
        <f>PR!F13</f>
        <v>46280</v>
      </c>
      <c r="G15" s="81">
        <f>PR!G13</f>
        <v>1890.75</v>
      </c>
      <c r="H15" s="81" t="str">
        <f>PR!H13</f>
        <v>Software licence</v>
      </c>
      <c r="I15" s="81" t="str">
        <f>PR!I13</f>
        <v>PAY-7008</v>
      </c>
      <c r="J15" s="81">
        <f>PR!J13</f>
        <v>0</v>
      </c>
      <c r="K15" s="82">
        <f>PR!K13</f>
        <v>46282</v>
      </c>
      <c r="L15" s="81">
        <f>PR!L13</f>
        <v>945.375</v>
      </c>
      <c r="M15" s="81">
        <f>PR!M13</f>
        <v>945.375</v>
      </c>
      <c r="N15" s="81">
        <f ca="1">PR!N13</f>
        <v>964.28250000000003</v>
      </c>
      <c r="O15" s="93" t="str">
        <f>IF(Table6[[#This Row],[Outstanding Amount]]="Paid All","P",IF(Table6[[#This Row],[Outstanding Amount]]&lt;0,"U","D"))</f>
        <v>D</v>
      </c>
      <c r="P15" s="90" t="str">
        <f>IF(Table6[[#This Row],[Status Code]]="D","DUE",IF(Table6[[#This Row],[Status Code]]="U","UNPAID","PAID"))</f>
        <v>DUE</v>
      </c>
      <c r="Q15" s="95" t="str">
        <f>IF(Table6[[#This Row],[Status ]]="UNPAID",Table6[[#This Row],[Outstanding Amount]],"")</f>
        <v/>
      </c>
      <c r="R15" s="2"/>
      <c r="S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3"/>
    </row>
    <row r="16" spans="2:40" x14ac:dyDescent="0.3">
      <c r="B16" s="1"/>
      <c r="C16" s="81">
        <f t="shared" si="0"/>
        <v>9</v>
      </c>
      <c r="D16" s="81" t="str">
        <f>PR!D14</f>
        <v>INV-2026-009</v>
      </c>
      <c r="E16" s="81" t="str">
        <f>PR!E14</f>
        <v>Jack Young</v>
      </c>
      <c r="F16" s="82">
        <f>PR!F14</f>
        <v>46283</v>
      </c>
      <c r="G16" s="81">
        <f>PR!G14</f>
        <v>265.5</v>
      </c>
      <c r="H16" s="81" t="str">
        <f>PR!H14</f>
        <v>Stationery order</v>
      </c>
      <c r="I16" s="81" t="str">
        <f>PR!I14</f>
        <v>PAY-7009</v>
      </c>
      <c r="J16" s="81">
        <f>PR!J14</f>
        <v>265.5</v>
      </c>
      <c r="K16" s="82">
        <f>PR!K14</f>
        <v>46287</v>
      </c>
      <c r="L16" s="81">
        <f>PR!L14</f>
        <v>265.5</v>
      </c>
      <c r="M16" s="81" t="str">
        <f>PR!M14</f>
        <v>Paid All</v>
      </c>
      <c r="N16" s="81">
        <f ca="1">PR!N14</f>
        <v>265.5</v>
      </c>
      <c r="O16" s="93" t="str">
        <f>IF(Table6[[#This Row],[Outstanding Amount]]="Paid All","P",IF(Table6[[#This Row],[Outstanding Amount]]&lt;0,"U","D"))</f>
        <v>P</v>
      </c>
      <c r="P16" s="90" t="str">
        <f>IF(Table6[[#This Row],[Status Code]]="D","DUE",IF(Table6[[#This Row],[Status Code]]="U","UNPAID","PAID"))</f>
        <v>PAID</v>
      </c>
      <c r="Q16" s="95" t="str">
        <f>IF(Table6[[#This Row],[Status ]]="UNPAID",Table6[[#This Row],[Outstanding Amount]],"")</f>
        <v/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3"/>
    </row>
    <row r="17" spans="2:40" x14ac:dyDescent="0.3">
      <c r="B17" s="1"/>
      <c r="C17" s="83">
        <f t="shared" si="0"/>
        <v>10</v>
      </c>
      <c r="D17" s="83" t="str">
        <f>PR!D15</f>
        <v>INV-2026-010</v>
      </c>
      <c r="E17" s="81" t="str">
        <f>PR!E15</f>
        <v>Lily Allen</v>
      </c>
      <c r="F17" s="82">
        <f>PR!F15</f>
        <v>46285</v>
      </c>
      <c r="G17" s="81">
        <f>PR!G15</f>
        <v>980</v>
      </c>
      <c r="H17" s="81" t="str">
        <f>PR!H15</f>
        <v>Training services</v>
      </c>
      <c r="I17" s="81" t="str">
        <f>PR!I15</f>
        <v>PAY-7010</v>
      </c>
      <c r="J17" s="81">
        <f>PR!J15</f>
        <v>0</v>
      </c>
      <c r="K17" s="82">
        <f>PR!K15</f>
        <v>46287</v>
      </c>
      <c r="L17" s="81">
        <f>PR!L15</f>
        <v>490</v>
      </c>
      <c r="M17" s="81">
        <f>PR!M15</f>
        <v>490</v>
      </c>
      <c r="N17" s="81">
        <f ca="1">PR!N15</f>
        <v>490</v>
      </c>
      <c r="O17" s="93" t="str">
        <f>IF(Table6[[#This Row],[Outstanding Amount]]="Paid All","P",IF(Table6[[#This Row],[Outstanding Amount]]&lt;0,"U","D"))</f>
        <v>D</v>
      </c>
      <c r="P17" s="90" t="str">
        <f>IF(Table6[[#This Row],[Status Code]]="D","DUE",IF(Table6[[#This Row],[Status Code]]="U","UNPAID","PAID"))</f>
        <v>DUE</v>
      </c>
      <c r="Q17" s="95" t="str">
        <f>IF(Table6[[#This Row],[Status ]]="UNPAID",Table6[[#This Row],[Outstanding Amount]],"")</f>
        <v/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3"/>
    </row>
    <row r="18" spans="2:40" x14ac:dyDescent="0.3">
      <c r="B18" s="1"/>
      <c r="C18" s="81">
        <f t="shared" si="0"/>
        <v>11</v>
      </c>
      <c r="D18" s="81" t="str">
        <f>PR!D16</f>
        <v>INV-2026-011</v>
      </c>
      <c r="E18" s="81" t="str">
        <f>PR!E16</f>
        <v>Charlie King</v>
      </c>
      <c r="F18" s="82">
        <f>PR!F16</f>
        <v>46287</v>
      </c>
      <c r="G18" s="81">
        <f>PR!G16</f>
        <v>1450</v>
      </c>
      <c r="H18" s="81" t="str">
        <f>PR!H16</f>
        <v>Consulting services</v>
      </c>
      <c r="I18" s="81" t="str">
        <f>PR!I16</f>
        <v>PAY-7011</v>
      </c>
      <c r="J18" s="81">
        <f>PR!J16</f>
        <v>0</v>
      </c>
      <c r="K18" s="82">
        <f>PR!K16</f>
        <v>46289</v>
      </c>
      <c r="L18" s="81">
        <f>PR!L16</f>
        <v>725</v>
      </c>
      <c r="M18" s="81">
        <f>PR!M16</f>
        <v>725</v>
      </c>
      <c r="N18" s="81">
        <f ca="1">PR!N16</f>
        <v>725</v>
      </c>
      <c r="O18" s="93" t="str">
        <f>IF(Table6[[#This Row],[Outstanding Amount]]="Paid All","P",IF(Table6[[#This Row],[Outstanding Amount]]&lt;0,"U","D"))</f>
        <v>D</v>
      </c>
      <c r="P18" s="90" t="str">
        <f>IF(Table6[[#This Row],[Status Code]]="D","DUE",IF(Table6[[#This Row],[Status Code]]="U","UNPAID","PAID"))</f>
        <v>DUE</v>
      </c>
      <c r="Q18" s="95" t="str">
        <f>IF(Table6[[#This Row],[Status ]]="UNPAID",Table6[[#This Row],[Outstanding Amount]],"")</f>
        <v/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3"/>
    </row>
    <row r="19" spans="2:40" x14ac:dyDescent="0.3">
      <c r="B19" s="1"/>
      <c r="C19" s="83">
        <f t="shared" si="0"/>
        <v>12</v>
      </c>
      <c r="D19" s="83" t="str">
        <f>PR!D17</f>
        <v>INV-2026-012</v>
      </c>
      <c r="E19" s="81" t="str">
        <f>PR!E17</f>
        <v>Mia Wright</v>
      </c>
      <c r="F19" s="82">
        <f>PR!F17</f>
        <v>46290</v>
      </c>
      <c r="G19" s="81">
        <f>PR!G17</f>
        <v>375.25</v>
      </c>
      <c r="H19" s="81" t="str">
        <f>PR!H17</f>
        <v>Office supplies</v>
      </c>
      <c r="I19" s="81" t="str">
        <f>PR!I17</f>
        <v>PAY-7012</v>
      </c>
      <c r="J19" s="81">
        <f>PR!J17</f>
        <v>0</v>
      </c>
      <c r="K19" s="82">
        <f>PR!K17</f>
        <v>46294</v>
      </c>
      <c r="L19" s="81">
        <f>PR!L17</f>
        <v>187.625</v>
      </c>
      <c r="M19" s="81">
        <f>PR!M17</f>
        <v>187.625</v>
      </c>
      <c r="N19" s="81">
        <f ca="1">PR!N17</f>
        <v>187.625</v>
      </c>
      <c r="O19" s="93" t="str">
        <f>IF(Table6[[#This Row],[Outstanding Amount]]="Paid All","P",IF(Table6[[#This Row],[Outstanding Amount]]&lt;0,"U","D"))</f>
        <v>D</v>
      </c>
      <c r="P19" s="90" t="str">
        <f>IF(Table6[[#This Row],[Status Code]]="D","DUE",IF(Table6[[#This Row],[Status Code]]="U","UNPAID","PAID"))</f>
        <v>DUE</v>
      </c>
      <c r="Q19" s="95" t="str">
        <f>IF(Table6[[#This Row],[Status ]]="UNPAID",Table6[[#This Row],[Outstanding Amount]],"")</f>
        <v/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3"/>
    </row>
    <row r="20" spans="2:40" x14ac:dyDescent="0.3">
      <c r="B20" s="1"/>
      <c r="C20" s="81">
        <f t="shared" si="0"/>
        <v>13</v>
      </c>
      <c r="D20" s="81" t="str">
        <f>PR!D18</f>
        <v>INV-2026-013</v>
      </c>
      <c r="E20" s="81" t="str">
        <f>PR!E18</f>
        <v>Thomas Scott</v>
      </c>
      <c r="F20" s="82">
        <f>PR!F18</f>
        <v>46293</v>
      </c>
      <c r="G20" s="81">
        <f>PR!G18</f>
        <v>2750</v>
      </c>
      <c r="H20" s="81" t="str">
        <f>PR!H18</f>
        <v>Equipment purchase</v>
      </c>
      <c r="I20" s="81" t="str">
        <f>PR!I18</f>
        <v>PAY-7013</v>
      </c>
      <c r="J20" s="81">
        <f>PR!J18</f>
        <v>0</v>
      </c>
      <c r="K20" s="82">
        <f>PR!K18</f>
        <v>46295</v>
      </c>
      <c r="L20" s="81">
        <f>PR!L18</f>
        <v>1375</v>
      </c>
      <c r="M20" s="81">
        <f>PR!M18</f>
        <v>1375</v>
      </c>
      <c r="N20" s="81">
        <f ca="1">PR!N18</f>
        <v>1375</v>
      </c>
      <c r="O20" s="93" t="str">
        <f>IF(Table6[[#This Row],[Outstanding Amount]]="Paid All","P",IF(Table6[[#This Row],[Outstanding Amount]]&lt;0,"U","D"))</f>
        <v>D</v>
      </c>
      <c r="P20" s="90" t="str">
        <f>IF(Table6[[#This Row],[Status Code]]="D","DUE",IF(Table6[[#This Row],[Status Code]]="U","UNPAID","PAID"))</f>
        <v>DUE</v>
      </c>
      <c r="Q20" s="95" t="str">
        <f>IF(Table6[[#This Row],[Status ]]="UNPAID",Table6[[#This Row],[Outstanding Amount]],"")</f>
        <v/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3"/>
    </row>
    <row r="21" spans="2:40" x14ac:dyDescent="0.3">
      <c r="B21" s="1"/>
      <c r="C21" s="83">
        <f t="shared" si="0"/>
        <v>14</v>
      </c>
      <c r="D21" s="83" t="str">
        <f>PR!D19</f>
        <v>INV-2026-014</v>
      </c>
      <c r="E21" s="81" t="str">
        <f>PR!E19</f>
        <v>Sophia Green</v>
      </c>
      <c r="F21" s="82">
        <f>PR!F19</f>
        <v>46295</v>
      </c>
      <c r="G21" s="81">
        <f>PR!G19</f>
        <v>625</v>
      </c>
      <c r="H21" s="81" t="str">
        <f>PR!H19</f>
        <v>Monthly subscription</v>
      </c>
      <c r="I21" s="81" t="str">
        <f>PR!I19</f>
        <v>PAY-7014</v>
      </c>
      <c r="J21" s="81">
        <f>PR!J19</f>
        <v>675</v>
      </c>
      <c r="K21" s="82">
        <f>PR!K19</f>
        <v>46297</v>
      </c>
      <c r="L21" s="81">
        <f>PR!L19</f>
        <v>675</v>
      </c>
      <c r="M21" s="81">
        <f>PR!M19</f>
        <v>-50</v>
      </c>
      <c r="N21" s="81">
        <f>PR!N19</f>
        <v>675</v>
      </c>
      <c r="O21" s="93" t="str">
        <f>IF(Table6[[#This Row],[Outstanding Amount]]="Paid All","P",IF(Table6[[#This Row],[Outstanding Amount]]&lt;0,"U","D"))</f>
        <v>U</v>
      </c>
      <c r="P21" s="90" t="str">
        <f>IF(Table6[[#This Row],[Status Code]]="D","DUE",IF(Table6[[#This Row],[Status Code]]="U","UNPAID","PAID"))</f>
        <v>UNPAID</v>
      </c>
      <c r="Q21" s="95">
        <f>IF(Table6[[#This Row],[Status ]]="UNPAID",Table6[[#This Row],[Outstanding Amount]],"")</f>
        <v>-50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3"/>
    </row>
    <row r="22" spans="2:40" x14ac:dyDescent="0.3">
      <c r="B22" s="1"/>
      <c r="C22" s="81">
        <f t="shared" si="0"/>
        <v>15</v>
      </c>
      <c r="D22" s="81" t="str">
        <f>PR!D20</f>
        <v>INV-2026-015</v>
      </c>
      <c r="E22" s="81" t="str">
        <f>PR!E20</f>
        <v>Oscar Baker</v>
      </c>
      <c r="F22" s="82">
        <f>PR!F20</f>
        <v>46175</v>
      </c>
      <c r="G22" s="81">
        <f>PR!G20</f>
        <v>1120.8</v>
      </c>
      <c r="H22" s="81" t="str">
        <f>PR!H20</f>
        <v>Project delivery</v>
      </c>
      <c r="I22" s="81" t="str">
        <f>PR!I20</f>
        <v>PAY-7015</v>
      </c>
      <c r="J22" s="81">
        <f>PR!J20</f>
        <v>0</v>
      </c>
      <c r="K22" s="82">
        <f>PR!K20</f>
        <v>46177</v>
      </c>
      <c r="L22" s="81">
        <f>PR!L20</f>
        <v>560.4</v>
      </c>
      <c r="M22" s="81">
        <f>PR!M20</f>
        <v>560.4</v>
      </c>
      <c r="N22" s="81">
        <f ca="1">PR!N20</f>
        <v>773.35200000000009</v>
      </c>
      <c r="O22" s="93" t="str">
        <f>IF(Table6[[#This Row],[Outstanding Amount]]="Paid All","P",IF(Table6[[#This Row],[Outstanding Amount]]&lt;0,"U","D"))</f>
        <v>D</v>
      </c>
      <c r="P22" s="90" t="str">
        <f>IF(Table6[[#This Row],[Status Code]]="D","DUE",IF(Table6[[#This Row],[Status Code]]="U","UNPAID","PAID"))</f>
        <v>DUE</v>
      </c>
      <c r="Q22" s="95" t="str">
        <f>IF(Table6[[#This Row],[Status ]]="UNPAID",Table6[[#This Row],[Outstanding Amount]],"")</f>
        <v/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3"/>
    </row>
    <row r="23" spans="2:40" x14ac:dyDescent="0.3">
      <c r="B23" s="1"/>
      <c r="C23" s="83">
        <f t="shared" si="0"/>
        <v>16</v>
      </c>
      <c r="D23" s="83" t="str">
        <f>PR!D21</f>
        <v>INV-2026-016</v>
      </c>
      <c r="E23" s="81" t="str">
        <f>PR!E21</f>
        <v>Emily Adams</v>
      </c>
      <c r="F23" s="82">
        <f>PR!F21</f>
        <v>46299</v>
      </c>
      <c r="G23" s="81">
        <f>PR!G21</f>
        <v>890</v>
      </c>
      <c r="H23" s="81" t="str">
        <f>PR!H21</f>
        <v>Marketing services</v>
      </c>
      <c r="I23" s="81" t="str">
        <f>PR!I21</f>
        <v>PAY-7016</v>
      </c>
      <c r="J23" s="81">
        <f>PR!J21</f>
        <v>0</v>
      </c>
      <c r="K23" s="82">
        <f>PR!K21</f>
        <v>46301</v>
      </c>
      <c r="L23" s="81">
        <f>PR!L21</f>
        <v>445</v>
      </c>
      <c r="M23" s="81">
        <f>PR!M21</f>
        <v>445</v>
      </c>
      <c r="N23" s="81">
        <f ca="1">PR!N21</f>
        <v>445</v>
      </c>
      <c r="O23" s="93" t="str">
        <f>IF(Table6[[#This Row],[Outstanding Amount]]="Paid All","P",IF(Table6[[#This Row],[Outstanding Amount]]&lt;0,"U","D"))</f>
        <v>D</v>
      </c>
      <c r="P23" s="90" t="str">
        <f>IF(Table6[[#This Row],[Status Code]]="D","DUE",IF(Table6[[#This Row],[Status Code]]="U","UNPAID","PAID"))</f>
        <v>DUE</v>
      </c>
      <c r="Q23" s="95" t="str">
        <f>IF(Table6[[#This Row],[Status ]]="UNPAID",Table6[[#This Row],[Outstanding Amount]],"")</f>
        <v/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3"/>
    </row>
    <row r="24" spans="2:40" x14ac:dyDescent="0.3">
      <c r="B24" s="1"/>
      <c r="C24" s="81">
        <f t="shared" si="0"/>
        <v>17</v>
      </c>
      <c r="D24" s="81" t="str">
        <f>PR!D22</f>
        <v>INV-2026-017</v>
      </c>
      <c r="E24" s="81" t="str">
        <f>PR!E22</f>
        <v>William Nelson</v>
      </c>
      <c r="F24" s="82">
        <f>PR!F22</f>
        <v>46301</v>
      </c>
      <c r="G24" s="81">
        <f>PR!G22</f>
        <v>410.5</v>
      </c>
      <c r="H24" s="81" t="str">
        <f>PR!H22</f>
        <v>Maintenance services</v>
      </c>
      <c r="I24" s="81" t="str">
        <f>PR!I22</f>
        <v>PAY-7017</v>
      </c>
      <c r="J24" s="81">
        <f>PR!J22</f>
        <v>0</v>
      </c>
      <c r="K24" s="82">
        <f>PR!K22</f>
        <v>46303</v>
      </c>
      <c r="L24" s="81">
        <f>PR!L22</f>
        <v>205.25</v>
      </c>
      <c r="M24" s="81">
        <f>PR!M22</f>
        <v>205.25</v>
      </c>
      <c r="N24" s="81">
        <f ca="1">PR!N22</f>
        <v>205.25</v>
      </c>
      <c r="O24" s="93" t="str">
        <f>IF(Table6[[#This Row],[Outstanding Amount]]="Paid All","P",IF(Table6[[#This Row],[Outstanding Amount]]&lt;0,"U","D"))</f>
        <v>D</v>
      </c>
      <c r="P24" s="90" t="str">
        <f>IF(Table6[[#This Row],[Status Code]]="D","DUE",IF(Table6[[#This Row],[Status Code]]="U","UNPAID","PAID"))</f>
        <v>DUE</v>
      </c>
      <c r="Q24" s="95" t="str">
        <f>IF(Table6[[#This Row],[Status ]]="UNPAID",Table6[[#This Row],[Outstanding Amount]],"")</f>
        <v/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3"/>
    </row>
    <row r="25" spans="2:40" x14ac:dyDescent="0.3">
      <c r="B25" s="1"/>
      <c r="C25" s="83">
        <f t="shared" si="0"/>
        <v>18</v>
      </c>
      <c r="D25" s="83" t="str">
        <f>PR!D23</f>
        <v>INV-2026-018</v>
      </c>
      <c r="E25" s="81" t="str">
        <f>PR!E23</f>
        <v>Ella Hill</v>
      </c>
      <c r="F25" s="82">
        <f>PR!F23</f>
        <v>46303</v>
      </c>
      <c r="G25" s="81">
        <f>PR!G23</f>
        <v>1675</v>
      </c>
      <c r="H25" s="81" t="str">
        <f>PR!H23</f>
        <v>Software licence</v>
      </c>
      <c r="I25" s="81" t="str">
        <f>PR!I23</f>
        <v>PAY-7018</v>
      </c>
      <c r="J25" s="81">
        <f>PR!J23</f>
        <v>1675</v>
      </c>
      <c r="K25" s="82">
        <f>PR!K23</f>
        <v>46307</v>
      </c>
      <c r="L25" s="81">
        <f>PR!L23</f>
        <v>1675</v>
      </c>
      <c r="M25" s="81" t="str">
        <f>PR!M23</f>
        <v>Paid All</v>
      </c>
      <c r="N25" s="81">
        <f ca="1">PR!N23</f>
        <v>1675</v>
      </c>
      <c r="O25" s="93" t="str">
        <f>IF(Table6[[#This Row],[Outstanding Amount]]="Paid All","P",IF(Table6[[#This Row],[Outstanding Amount]]&lt;0,"U","D"))</f>
        <v>P</v>
      </c>
      <c r="P25" s="90" t="str">
        <f>IF(Table6[[#This Row],[Status Code]]="D","DUE",IF(Table6[[#This Row],[Status Code]]="U","UNPAID","PAID"))</f>
        <v>PAID</v>
      </c>
      <c r="Q25" s="95" t="str">
        <f>IF(Table6[[#This Row],[Status ]]="UNPAID",Table6[[#This Row],[Outstanding Amount]],"")</f>
        <v/>
      </c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3"/>
    </row>
    <row r="26" spans="2:40" x14ac:dyDescent="0.3">
      <c r="B26" s="1"/>
      <c r="C26" s="81">
        <f t="shared" si="0"/>
        <v>19</v>
      </c>
      <c r="D26" s="81" t="str">
        <f>PR!D24</f>
        <v>INV-2026-019</v>
      </c>
      <c r="E26" s="81" t="str">
        <f>PR!E24</f>
        <v>James Lewis</v>
      </c>
      <c r="F26" s="82">
        <f>PR!F24</f>
        <v>46305</v>
      </c>
      <c r="G26" s="81">
        <f>PR!G24</f>
        <v>295</v>
      </c>
      <c r="H26" s="81" t="str">
        <f>PR!H24</f>
        <v>Stationery order</v>
      </c>
      <c r="I26" s="81" t="str">
        <f>PR!I24</f>
        <v>PAY-7019</v>
      </c>
      <c r="J26" s="81">
        <f>PR!J24</f>
        <v>0</v>
      </c>
      <c r="K26" s="82">
        <f>PR!K24</f>
        <v>46308</v>
      </c>
      <c r="L26" s="81">
        <f>PR!L24</f>
        <v>147.5</v>
      </c>
      <c r="M26" s="81">
        <f>PR!M24</f>
        <v>147.5</v>
      </c>
      <c r="N26" s="81">
        <f ca="1">PR!N24</f>
        <v>147.5</v>
      </c>
      <c r="O26" s="93" t="str">
        <f>IF(Table6[[#This Row],[Outstanding Amount]]="Paid All","P",IF(Table6[[#This Row],[Outstanding Amount]]&lt;0,"U","D"))</f>
        <v>D</v>
      </c>
      <c r="P26" s="90" t="str">
        <f>IF(Table6[[#This Row],[Status Code]]="D","DUE",IF(Table6[[#This Row],[Status Code]]="U","UNPAID","PAID"))</f>
        <v>DUE</v>
      </c>
      <c r="Q26" s="95" t="str">
        <f>IF(Table6[[#This Row],[Status ]]="UNPAID",Table6[[#This Row],[Outstanding Amount]],"")</f>
        <v/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3"/>
    </row>
    <row r="27" spans="2:40" x14ac:dyDescent="0.3">
      <c r="B27" s="1"/>
      <c r="C27" s="83">
        <f t="shared" si="0"/>
        <v>20</v>
      </c>
      <c r="D27" s="83" t="str">
        <f>PR!D25</f>
        <v>INV-2026-020</v>
      </c>
      <c r="E27" s="81" t="str">
        <f>PR!E25</f>
        <v>Freya Clark</v>
      </c>
      <c r="F27" s="82">
        <f>PR!F25</f>
        <v>46307</v>
      </c>
      <c r="G27" s="81">
        <f>PR!G25</f>
        <v>1350.25</v>
      </c>
      <c r="H27" s="81" t="str">
        <f>PR!H25</f>
        <v>Training services</v>
      </c>
      <c r="I27" s="81" t="str">
        <f>PR!I25</f>
        <v>PAY-7020</v>
      </c>
      <c r="J27" s="81">
        <f>PR!J25</f>
        <v>0</v>
      </c>
      <c r="K27" s="82">
        <f>PR!K25</f>
        <v>46309</v>
      </c>
      <c r="L27" s="81">
        <f>PR!L25</f>
        <v>675.125</v>
      </c>
      <c r="M27" s="81">
        <f>PR!M25</f>
        <v>675.125</v>
      </c>
      <c r="N27" s="81">
        <f ca="1">PR!N25</f>
        <v>675.125</v>
      </c>
      <c r="O27" s="93" t="str">
        <f>IF(Table6[[#This Row],[Outstanding Amount]]="Paid All","P",IF(Table6[[#This Row],[Outstanding Amount]]&lt;0,"U","D"))</f>
        <v>D</v>
      </c>
      <c r="P27" s="90" t="str">
        <f>IF(Table6[[#This Row],[Status Code]]="D","DUE",IF(Table6[[#This Row],[Status Code]]="U","UNPAID","PAID"))</f>
        <v>DUE</v>
      </c>
      <c r="Q27" s="95" t="str">
        <f>IF(Table6[[#This Row],[Status ]]="UNPAID",Table6[[#This Row],[Outstanding Amount]],"")</f>
        <v/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3"/>
    </row>
    <row r="28" spans="2:40" x14ac:dyDescent="0.3">
      <c r="B28" s="1"/>
      <c r="C28" s="81">
        <f t="shared" si="0"/>
        <v>21</v>
      </c>
      <c r="D28" s="81" t="str">
        <f>PR!D26</f>
        <v>INV-2026-021</v>
      </c>
      <c r="E28" s="81" t="str">
        <f>PR!E26</f>
        <v>Henry Lewis</v>
      </c>
      <c r="F28" s="82">
        <f>PR!F26</f>
        <v>46309</v>
      </c>
      <c r="G28" s="81">
        <f>PR!G26</f>
        <v>725</v>
      </c>
      <c r="H28" s="81" t="str">
        <f>PR!H26</f>
        <v>Office supplies</v>
      </c>
      <c r="I28" s="81" t="str">
        <f>PR!I26</f>
        <v>PAY-7021</v>
      </c>
      <c r="J28" s="81">
        <f>PR!J26</f>
        <v>725</v>
      </c>
      <c r="K28" s="82">
        <f>PR!K26</f>
        <v>46311</v>
      </c>
      <c r="L28" s="81">
        <f>PR!L26</f>
        <v>725</v>
      </c>
      <c r="M28" s="81" t="str">
        <f>PR!M26</f>
        <v>Paid All</v>
      </c>
      <c r="N28" s="81">
        <f ca="1">PR!N26</f>
        <v>725</v>
      </c>
      <c r="O28" s="93" t="str">
        <f>IF(Table6[[#This Row],[Outstanding Amount]]="Paid All","P",IF(Table6[[#This Row],[Outstanding Amount]]&lt;0,"U","D"))</f>
        <v>P</v>
      </c>
      <c r="P28" s="90" t="str">
        <f>IF(Table6[[#This Row],[Status Code]]="D","DUE",IF(Table6[[#This Row],[Status Code]]="U","UNPAID","PAID"))</f>
        <v>PAID</v>
      </c>
      <c r="Q28" s="95" t="str">
        <f>IF(Table6[[#This Row],[Status ]]="UNPAID",Table6[[#This Row],[Outstanding Amount]],"")</f>
        <v/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3"/>
    </row>
    <row r="29" spans="2:40" x14ac:dyDescent="0.3">
      <c r="B29" s="1"/>
      <c r="C29" s="83">
        <f t="shared" si="0"/>
        <v>22</v>
      </c>
      <c r="D29" s="83" t="str">
        <f>PR!D27</f>
        <v>INV-2026-022</v>
      </c>
      <c r="E29" s="81" t="str">
        <f>PR!E27</f>
        <v>Poppy Robinson</v>
      </c>
      <c r="F29" s="82">
        <f>PR!F27</f>
        <v>46311</v>
      </c>
      <c r="G29" s="81">
        <f>PR!G27</f>
        <v>2350.5</v>
      </c>
      <c r="H29" s="81" t="str">
        <f>PR!H27</f>
        <v>Consulting services</v>
      </c>
      <c r="I29" s="81" t="str">
        <f>PR!I27</f>
        <v>PAY-7022</v>
      </c>
      <c r="J29" s="81">
        <f>PR!J27</f>
        <v>0</v>
      </c>
      <c r="K29" s="82">
        <f>PR!K27</f>
        <v>46315</v>
      </c>
      <c r="L29" s="81">
        <f>PR!L27</f>
        <v>1175.25</v>
      </c>
      <c r="M29" s="81">
        <f>PR!M27</f>
        <v>1175.25</v>
      </c>
      <c r="N29" s="81">
        <f ca="1">PR!N27</f>
        <v>1175.25</v>
      </c>
      <c r="O29" s="93" t="str">
        <f>IF(Table6[[#This Row],[Outstanding Amount]]="Paid All","P",IF(Table6[[#This Row],[Outstanding Amount]]&lt;0,"U","D"))</f>
        <v>D</v>
      </c>
      <c r="P29" s="90" t="str">
        <f>IF(Table6[[#This Row],[Status Code]]="D","DUE",IF(Table6[[#This Row],[Status Code]]="U","UNPAID","PAID"))</f>
        <v>DUE</v>
      </c>
      <c r="Q29" s="95" t="str">
        <f>IF(Table6[[#This Row],[Status ]]="UNPAID",Table6[[#This Row],[Outstanding Amount]],"")</f>
        <v/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3"/>
    </row>
    <row r="30" spans="2:40" x14ac:dyDescent="0.3">
      <c r="B30" s="1"/>
      <c r="C30" s="81">
        <f t="shared" si="0"/>
        <v>23</v>
      </c>
      <c r="D30" s="81" t="str">
        <f>PR!D28</f>
        <v>INV-2026-023</v>
      </c>
      <c r="E30" s="81" t="str">
        <f>PR!E28</f>
        <v>Alfie Walker</v>
      </c>
      <c r="F30" s="82">
        <f>PR!F28</f>
        <v>46252</v>
      </c>
      <c r="G30" s="81">
        <f>PR!G28</f>
        <v>560</v>
      </c>
      <c r="H30" s="81" t="str">
        <f>PR!H28</f>
        <v>Equipment purchase</v>
      </c>
      <c r="I30" s="81" t="str">
        <f>PR!I28</f>
        <v>PAY-7023</v>
      </c>
      <c r="J30" s="81">
        <f>PR!J28</f>
        <v>580</v>
      </c>
      <c r="K30" s="82">
        <f>PR!K28</f>
        <v>46254</v>
      </c>
      <c r="L30" s="81">
        <f>PR!L28</f>
        <v>580</v>
      </c>
      <c r="M30" s="81">
        <f>PR!M28</f>
        <v>-20</v>
      </c>
      <c r="N30" s="81">
        <f>PR!N28</f>
        <v>580</v>
      </c>
      <c r="O30" s="93" t="str">
        <f>IF(Table6[[#This Row],[Outstanding Amount]]="Paid All","P",IF(Table6[[#This Row],[Outstanding Amount]]&lt;0,"U","D"))</f>
        <v>U</v>
      </c>
      <c r="P30" s="90" t="str">
        <f>IF(Table6[[#This Row],[Status Code]]="D","DUE",IF(Table6[[#This Row],[Status Code]]="U","UNPAID","PAID"))</f>
        <v>UNPAID</v>
      </c>
      <c r="Q30" s="95">
        <f>IF(Table6[[#This Row],[Status ]]="UNPAID",Table6[[#This Row],[Outstanding Amount]],"")</f>
        <v>-20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3"/>
    </row>
    <row r="31" spans="2:40" x14ac:dyDescent="0.3">
      <c r="B31" s="1"/>
      <c r="C31" s="83">
        <f t="shared" si="0"/>
        <v>24</v>
      </c>
      <c r="D31" s="83" t="str">
        <f>PR!D29</f>
        <v>INV-2026-024</v>
      </c>
      <c r="E31" s="81" t="str">
        <f>PR!E29</f>
        <v>Evie Hall</v>
      </c>
      <c r="F31" s="82">
        <f>PR!F29</f>
        <v>46256</v>
      </c>
      <c r="G31" s="81">
        <f>PR!G29</f>
        <v>1025.75</v>
      </c>
      <c r="H31" s="81" t="str">
        <f>PR!H29</f>
        <v>Monthly subscription</v>
      </c>
      <c r="I31" s="81" t="str">
        <f>PR!I29</f>
        <v>PAY-7024</v>
      </c>
      <c r="J31" s="81">
        <f>PR!J29</f>
        <v>0</v>
      </c>
      <c r="K31" s="82">
        <f>PR!K29</f>
        <v>46259</v>
      </c>
      <c r="L31" s="81">
        <f>PR!L29</f>
        <v>512.875</v>
      </c>
      <c r="M31" s="81">
        <f>PR!M29</f>
        <v>512.875</v>
      </c>
      <c r="N31" s="81">
        <f ca="1">PR!N29</f>
        <v>584.67750000000001</v>
      </c>
      <c r="O31" s="93" t="str">
        <f>IF(Table6[[#This Row],[Outstanding Amount]]="Paid All","P",IF(Table6[[#This Row],[Outstanding Amount]]&lt;0,"U","D"))</f>
        <v>D</v>
      </c>
      <c r="P31" s="90" t="str">
        <f>IF(Table6[[#This Row],[Status Code]]="D","DUE",IF(Table6[[#This Row],[Status Code]]="U","UNPAID","PAID"))</f>
        <v>DUE</v>
      </c>
      <c r="Q31" s="95" t="str">
        <f>IF(Table6[[#This Row],[Status ]]="UNPAID",Table6[[#This Row],[Outstanding Amount]],"")</f>
        <v/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3"/>
    </row>
    <row r="32" spans="2:40" x14ac:dyDescent="0.3">
      <c r="B32" s="1"/>
      <c r="C32" s="81">
        <f t="shared" si="0"/>
        <v>25</v>
      </c>
      <c r="D32" s="81" t="str">
        <f>PR!D30</f>
        <v>INV-2026-025</v>
      </c>
      <c r="E32" s="81" t="str">
        <f>PR!E30</f>
        <v>Leo Young</v>
      </c>
      <c r="F32" s="82">
        <f>PR!F30</f>
        <v>46262</v>
      </c>
      <c r="G32" s="81">
        <f>PR!G30</f>
        <v>440</v>
      </c>
      <c r="H32" s="81" t="str">
        <f>PR!H30</f>
        <v>Project delivery</v>
      </c>
      <c r="I32" s="81" t="str">
        <f>PR!I30</f>
        <v>PAY-7025</v>
      </c>
      <c r="J32" s="81">
        <f>PR!J30</f>
        <v>0</v>
      </c>
      <c r="K32" s="82">
        <f>PR!K30</f>
        <v>46266</v>
      </c>
      <c r="L32" s="81">
        <f>PR!L30</f>
        <v>220</v>
      </c>
      <c r="M32" s="81">
        <f>PR!M30</f>
        <v>220</v>
      </c>
      <c r="N32" s="81">
        <f ca="1">PR!N30</f>
        <v>244.2</v>
      </c>
      <c r="O32" s="93" t="str">
        <f>IF(Table6[[#This Row],[Outstanding Amount]]="Paid All","P",IF(Table6[[#This Row],[Outstanding Amount]]&lt;0,"U","D"))</f>
        <v>D</v>
      </c>
      <c r="P32" s="90" t="str">
        <f>IF(Table6[[#This Row],[Status Code]]="D","DUE",IF(Table6[[#This Row],[Status Code]]="U","UNPAID","PAID"))</f>
        <v>DUE</v>
      </c>
      <c r="Q32" s="95" t="str">
        <f>IF(Table6[[#This Row],[Status ]]="UNPAID",Table6[[#This Row],[Outstanding Amount]],"")</f>
        <v/>
      </c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3"/>
    </row>
    <row r="33" spans="2:40" x14ac:dyDescent="0.3">
      <c r="B33" s="1"/>
      <c r="C33" s="83">
        <f t="shared" si="0"/>
        <v>26</v>
      </c>
      <c r="D33" s="83" t="str">
        <f>PR!D31</f>
        <v>INV-2026-026</v>
      </c>
      <c r="E33" s="81" t="str">
        <f>PR!E31</f>
        <v>Florence King</v>
      </c>
      <c r="F33" s="82">
        <f>PR!F31</f>
        <v>46268</v>
      </c>
      <c r="G33" s="81">
        <f>PR!G31</f>
        <v>1780</v>
      </c>
      <c r="H33" s="81" t="str">
        <f>PR!H31</f>
        <v>Marketing services</v>
      </c>
      <c r="I33" s="81" t="str">
        <f>PR!I31</f>
        <v>PAY-7026</v>
      </c>
      <c r="J33" s="81">
        <f>PR!J31</f>
        <v>0</v>
      </c>
      <c r="K33" s="82">
        <f>PR!K31</f>
        <v>46272</v>
      </c>
      <c r="L33" s="81">
        <f>PR!L31</f>
        <v>890</v>
      </c>
      <c r="M33" s="81">
        <f>PR!M31</f>
        <v>890</v>
      </c>
      <c r="N33" s="81">
        <f ca="1">PR!N31</f>
        <v>961.2</v>
      </c>
      <c r="O33" s="93" t="str">
        <f>IF(Table6[[#This Row],[Outstanding Amount]]="Paid All","P",IF(Table6[[#This Row],[Outstanding Amount]]&lt;0,"U","D"))</f>
        <v>D</v>
      </c>
      <c r="P33" s="90" t="str">
        <f>IF(Table6[[#This Row],[Status Code]]="D","DUE",IF(Table6[[#This Row],[Status Code]]="U","UNPAID","PAID"))</f>
        <v>DUE</v>
      </c>
      <c r="Q33" s="95" t="str">
        <f>IF(Table6[[#This Row],[Status ]]="UNPAID",Table6[[#This Row],[Outstanding Amount]],"")</f>
        <v/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3"/>
    </row>
    <row r="34" spans="2:40" x14ac:dyDescent="0.3">
      <c r="B34" s="1"/>
      <c r="C34" s="81">
        <f t="shared" si="0"/>
        <v>27</v>
      </c>
      <c r="D34" s="81" t="str">
        <f>PR!D32</f>
        <v>INV-2026-027</v>
      </c>
      <c r="E34" s="81" t="str">
        <f>PR!E32</f>
        <v>Archie Wright</v>
      </c>
      <c r="F34" s="82">
        <f>PR!F32</f>
        <v>46272</v>
      </c>
      <c r="G34" s="81">
        <f>PR!G32</f>
        <v>315.25</v>
      </c>
      <c r="H34" s="81" t="str">
        <f>PR!H32</f>
        <v>Maintenance services</v>
      </c>
      <c r="I34" s="81" t="str">
        <f>PR!I32</f>
        <v>PAY-7027</v>
      </c>
      <c r="J34" s="81">
        <f>PR!J32</f>
        <v>0</v>
      </c>
      <c r="K34" s="82">
        <f>PR!K32</f>
        <v>46274</v>
      </c>
      <c r="L34" s="81">
        <f>PR!L32</f>
        <v>157.625</v>
      </c>
      <c r="M34" s="81">
        <f>PR!M32</f>
        <v>157.625</v>
      </c>
      <c r="N34" s="81">
        <f ca="1">PR!N32</f>
        <v>165.50624999999999</v>
      </c>
      <c r="O34" s="93" t="str">
        <f>IF(Table6[[#This Row],[Outstanding Amount]]="Paid All","P",IF(Table6[[#This Row],[Outstanding Amount]]&lt;0,"U","D"))</f>
        <v>D</v>
      </c>
      <c r="P34" s="90" t="str">
        <f>IF(Table6[[#This Row],[Status Code]]="D","DUE",IF(Table6[[#This Row],[Status Code]]="U","UNPAID","PAID"))</f>
        <v>DUE</v>
      </c>
      <c r="Q34" s="95" t="str">
        <f>IF(Table6[[#This Row],[Status ]]="UNPAID",Table6[[#This Row],[Outstanding Amount]],"")</f>
        <v/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3"/>
    </row>
    <row r="35" spans="2:40" x14ac:dyDescent="0.3">
      <c r="B35" s="1"/>
      <c r="C35" s="83">
        <f t="shared" si="0"/>
        <v>28</v>
      </c>
      <c r="D35" s="83" t="str">
        <f>PR!D33</f>
        <v>INV-2026-028</v>
      </c>
      <c r="E35" s="81" t="str">
        <f>PR!E33</f>
        <v>Ivy Scott</v>
      </c>
      <c r="F35" s="82">
        <f>PR!F33</f>
        <v>46276</v>
      </c>
      <c r="G35" s="81">
        <f>PR!G33</f>
        <v>940</v>
      </c>
      <c r="H35" s="81" t="str">
        <f>PR!H33</f>
        <v>Software licence</v>
      </c>
      <c r="I35" s="81" t="str">
        <f>PR!I33</f>
        <v>PAY-7028</v>
      </c>
      <c r="J35" s="81">
        <f>PR!J33</f>
        <v>0</v>
      </c>
      <c r="K35" s="82">
        <f>PR!K33</f>
        <v>46280</v>
      </c>
      <c r="L35" s="81">
        <f>PR!L33</f>
        <v>470</v>
      </c>
      <c r="M35" s="81">
        <f>PR!M33</f>
        <v>470</v>
      </c>
      <c r="N35" s="81">
        <f ca="1">PR!N33</f>
        <v>479.4</v>
      </c>
      <c r="O35" s="93" t="str">
        <f>IF(Table6[[#This Row],[Outstanding Amount]]="Paid All","P",IF(Table6[[#This Row],[Outstanding Amount]]&lt;0,"U","D"))</f>
        <v>D</v>
      </c>
      <c r="P35" s="90" t="str">
        <f>IF(Table6[[#This Row],[Status Code]]="D","DUE",IF(Table6[[#This Row],[Status Code]]="U","UNPAID","PAID"))</f>
        <v>DUE</v>
      </c>
      <c r="Q35" s="95" t="str">
        <f>IF(Table6[[#This Row],[Status ]]="UNPAID",Table6[[#This Row],[Outstanding Amount]],"")</f>
        <v/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3"/>
    </row>
    <row r="36" spans="2:40" x14ac:dyDescent="0.3">
      <c r="B36" s="1"/>
      <c r="C36" s="81">
        <f t="shared" si="0"/>
        <v>29</v>
      </c>
      <c r="D36" s="81" t="str">
        <f>PR!D34</f>
        <v>INV-2026-029</v>
      </c>
      <c r="E36" s="81" t="str">
        <f>PR!E34</f>
        <v>Freddie Green</v>
      </c>
      <c r="F36" s="82">
        <f>PR!F34</f>
        <v>46279</v>
      </c>
      <c r="G36" s="81">
        <f>PR!G34</f>
        <v>2450</v>
      </c>
      <c r="H36" s="81" t="str">
        <f>PR!H34</f>
        <v>Stationery order</v>
      </c>
      <c r="I36" s="81" t="str">
        <f>PR!I34</f>
        <v>PAY-7029</v>
      </c>
      <c r="J36" s="81">
        <f>PR!J34</f>
        <v>0</v>
      </c>
      <c r="K36" s="82">
        <f>PR!K34</f>
        <v>46281</v>
      </c>
      <c r="L36" s="81">
        <f>PR!L34</f>
        <v>1225</v>
      </c>
      <c r="M36" s="81">
        <f>PR!M34</f>
        <v>1225</v>
      </c>
      <c r="N36" s="81">
        <f ca="1">PR!N34</f>
        <v>1249.5</v>
      </c>
      <c r="O36" s="93" t="str">
        <f>IF(Table6[[#This Row],[Outstanding Amount]]="Paid All","P",IF(Table6[[#This Row],[Outstanding Amount]]&lt;0,"U","D"))</f>
        <v>D</v>
      </c>
      <c r="P36" s="90" t="str">
        <f>IF(Table6[[#This Row],[Status Code]]="D","DUE",IF(Table6[[#This Row],[Status Code]]="U","UNPAID","PAID"))</f>
        <v>DUE</v>
      </c>
      <c r="Q36" s="95" t="str">
        <f>IF(Table6[[#This Row],[Status ]]="UNPAID",Table6[[#This Row],[Outstanding Amount]],"")</f>
        <v/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3"/>
    </row>
    <row r="37" spans="2:40" x14ac:dyDescent="0.3">
      <c r="B37" s="1"/>
      <c r="C37" s="83">
        <f t="shared" si="0"/>
        <v>30</v>
      </c>
      <c r="D37" s="83" t="str">
        <f>PR!D35</f>
        <v>INV-2026-030</v>
      </c>
      <c r="E37" s="81" t="str">
        <f>PR!E35</f>
        <v>Elsie Baker</v>
      </c>
      <c r="F37" s="82">
        <f>PR!F35</f>
        <v>46282</v>
      </c>
      <c r="G37" s="81">
        <f>PR!G35</f>
        <v>685.5</v>
      </c>
      <c r="H37" s="81" t="str">
        <f>PR!H35</f>
        <v>Training services</v>
      </c>
      <c r="I37" s="81" t="str">
        <f>PR!I35</f>
        <v>PAY-7030</v>
      </c>
      <c r="J37" s="81">
        <f>PR!J35</f>
        <v>685</v>
      </c>
      <c r="K37" s="82">
        <f>PR!K35</f>
        <v>46286</v>
      </c>
      <c r="L37" s="81">
        <f>PR!L35</f>
        <v>685</v>
      </c>
      <c r="M37" s="81">
        <f>PR!M35</f>
        <v>0.5</v>
      </c>
      <c r="N37" s="81">
        <f>PR!N35</f>
        <v>685</v>
      </c>
      <c r="O37" s="93" t="str">
        <f>IF(Table6[[#This Row],[Outstanding Amount]]="Paid All","P",IF(Table6[[#This Row],[Outstanding Amount]]&lt;0,"U","D"))</f>
        <v>D</v>
      </c>
      <c r="P37" s="90" t="str">
        <f>IF(Table6[[#This Row],[Status Code]]="D","DUE",IF(Table6[[#This Row],[Status Code]]="U","UNPAID","PAID"))</f>
        <v>DUE</v>
      </c>
      <c r="Q37" s="95" t="str">
        <f>IF(Table6[[#This Row],[Status ]]="UNPAID",Table6[[#This Row],[Outstanding Amount]],"")</f>
        <v/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2:40" x14ac:dyDescent="0.3">
      <c r="B38" s="1"/>
      <c r="C38" s="81">
        <f t="shared" si="0"/>
        <v>31</v>
      </c>
      <c r="D38" s="81" t="str">
        <f>PR!D36</f>
        <v>INV-2026-031</v>
      </c>
      <c r="E38" s="81" t="str">
        <f>PR!E36</f>
        <v>Ethan Adams</v>
      </c>
      <c r="F38" s="82">
        <f>PR!F36</f>
        <v>46286</v>
      </c>
      <c r="G38" s="81">
        <f>PR!G36</f>
        <v>1150</v>
      </c>
      <c r="H38" s="81" t="str">
        <f>PR!H36</f>
        <v>Office supplies</v>
      </c>
      <c r="I38" s="81" t="str">
        <f>PR!I36</f>
        <v>PAY-7031</v>
      </c>
      <c r="J38" s="81">
        <f>PR!J36</f>
        <v>0</v>
      </c>
      <c r="K38" s="82">
        <f>PR!K36</f>
        <v>46288</v>
      </c>
      <c r="L38" s="81">
        <f>PR!L36</f>
        <v>575</v>
      </c>
      <c r="M38" s="81">
        <f>PR!M36</f>
        <v>575</v>
      </c>
      <c r="N38" s="81">
        <f ca="1">PR!N36</f>
        <v>575</v>
      </c>
      <c r="O38" s="93" t="str">
        <f>IF(Table6[[#This Row],[Outstanding Amount]]="Paid All","P",IF(Table6[[#This Row],[Outstanding Amount]]&lt;0,"U","D"))</f>
        <v>D</v>
      </c>
      <c r="P38" s="90" t="str">
        <f>IF(Table6[[#This Row],[Status Code]]="D","DUE",IF(Table6[[#This Row],[Status Code]]="U","UNPAID","PAID"))</f>
        <v>DUE</v>
      </c>
      <c r="Q38" s="95" t="str">
        <f>IF(Table6[[#This Row],[Status ]]="UNPAID",Table6[[#This Row],[Outstanding Amount]],"")</f>
        <v/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2:40" x14ac:dyDescent="0.3">
      <c r="B39" s="1"/>
      <c r="C39" s="83">
        <f t="shared" si="0"/>
        <v>32</v>
      </c>
      <c r="D39" s="83" t="str">
        <f>PR!D37</f>
        <v>INV-2026-032</v>
      </c>
      <c r="E39" s="81" t="str">
        <f>PR!E37</f>
        <v>Ruby Nelson</v>
      </c>
      <c r="F39" s="82">
        <f>PR!F37</f>
        <v>46289</v>
      </c>
      <c r="G39" s="81">
        <f>PR!G37</f>
        <v>395.75</v>
      </c>
      <c r="H39" s="81" t="str">
        <f>PR!H37</f>
        <v>Consulting services</v>
      </c>
      <c r="I39" s="81" t="str">
        <f>PR!I37</f>
        <v>PAY-7032</v>
      </c>
      <c r="J39" s="81">
        <f>PR!J37</f>
        <v>0</v>
      </c>
      <c r="K39" s="82">
        <f>PR!K37</f>
        <v>46293</v>
      </c>
      <c r="L39" s="81">
        <f>PR!L37</f>
        <v>197.875</v>
      </c>
      <c r="M39" s="81">
        <f>PR!M37</f>
        <v>197.875</v>
      </c>
      <c r="N39" s="81">
        <f ca="1">PR!N37</f>
        <v>197.875</v>
      </c>
      <c r="O39" s="93" t="str">
        <f>IF(Table6[[#This Row],[Outstanding Amount]]="Paid All","P",IF(Table6[[#This Row],[Outstanding Amount]]&lt;0,"U","D"))</f>
        <v>D</v>
      </c>
      <c r="P39" s="90" t="str">
        <f>IF(Table6[[#This Row],[Status Code]]="D","DUE",IF(Table6[[#This Row],[Status Code]]="U","UNPAID","PAID"))</f>
        <v>DUE</v>
      </c>
      <c r="Q39" s="95" t="str">
        <f>IF(Table6[[#This Row],[Status ]]="UNPAID",Table6[[#This Row],[Outstanding Amount]],"")</f>
        <v/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2:40" x14ac:dyDescent="0.3">
      <c r="B40" s="1"/>
      <c r="C40" s="81">
        <f t="shared" si="0"/>
        <v>33</v>
      </c>
      <c r="D40" s="81" t="str">
        <f>PR!D38</f>
        <v>INV-2026-033</v>
      </c>
      <c r="E40" s="81" t="str">
        <f>PR!E38</f>
        <v>Lucas Hill</v>
      </c>
      <c r="F40" s="82">
        <f>PR!F38</f>
        <v>46292</v>
      </c>
      <c r="G40" s="81">
        <f>PR!G38</f>
        <v>2850</v>
      </c>
      <c r="H40" s="81" t="str">
        <f>PR!H38</f>
        <v>Equipment purchase</v>
      </c>
      <c r="I40" s="81" t="str">
        <f>PR!I38</f>
        <v>PAY-7033</v>
      </c>
      <c r="J40" s="81">
        <f>PR!J38</f>
        <v>0</v>
      </c>
      <c r="K40" s="82">
        <f>PR!K38</f>
        <v>46294</v>
      </c>
      <c r="L40" s="81">
        <f>PR!L38</f>
        <v>1425</v>
      </c>
      <c r="M40" s="81">
        <f>PR!M38</f>
        <v>1425</v>
      </c>
      <c r="N40" s="81">
        <f ca="1">PR!N38</f>
        <v>1425</v>
      </c>
      <c r="O40" s="93" t="str">
        <f>IF(Table6[[#This Row],[Outstanding Amount]]="Paid All","P",IF(Table6[[#This Row],[Outstanding Amount]]&lt;0,"U","D"))</f>
        <v>D</v>
      </c>
      <c r="P40" s="90" t="str">
        <f>IF(Table6[[#This Row],[Status Code]]="D","DUE",IF(Table6[[#This Row],[Status Code]]="U","UNPAID","PAID"))</f>
        <v>DUE</v>
      </c>
      <c r="Q40" s="95" t="str">
        <f>IF(Table6[[#This Row],[Status ]]="UNPAID",Table6[[#This Row],[Outstanding Amount]],"")</f>
        <v/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2:40" x14ac:dyDescent="0.3">
      <c r="B41" s="1"/>
      <c r="C41" s="83">
        <f t="shared" si="0"/>
        <v>34</v>
      </c>
      <c r="D41" s="83" t="str">
        <f>PR!D39</f>
        <v>INV-2026-034</v>
      </c>
      <c r="E41" s="81" t="str">
        <f>PR!E39</f>
        <v>Daisy Lewis</v>
      </c>
      <c r="F41" s="82">
        <f>PR!F39</f>
        <v>46294</v>
      </c>
      <c r="G41" s="81">
        <f>PR!G39</f>
        <v>760</v>
      </c>
      <c r="H41" s="81" t="str">
        <f>PR!H39</f>
        <v>Monthly subscription</v>
      </c>
      <c r="I41" s="81" t="str">
        <f>PR!I39</f>
        <v>PAY-7034</v>
      </c>
      <c r="J41" s="81">
        <f>PR!J39</f>
        <v>0</v>
      </c>
      <c r="K41" s="82">
        <f>PR!K39</f>
        <v>46296</v>
      </c>
      <c r="L41" s="81">
        <f>PR!L39</f>
        <v>380</v>
      </c>
      <c r="M41" s="81">
        <f>PR!M39</f>
        <v>380</v>
      </c>
      <c r="N41" s="81">
        <f ca="1">PR!N39</f>
        <v>380</v>
      </c>
      <c r="O41" s="93" t="str">
        <f>IF(Table6[[#This Row],[Outstanding Amount]]="Paid All","P",IF(Table6[[#This Row],[Outstanding Amount]]&lt;0,"U","D"))</f>
        <v>D</v>
      </c>
      <c r="P41" s="90" t="str">
        <f>IF(Table6[[#This Row],[Status Code]]="D","DUE",IF(Table6[[#This Row],[Status Code]]="U","UNPAID","PAID"))</f>
        <v>DUE</v>
      </c>
      <c r="Q41" s="95" t="str">
        <f>IF(Table6[[#This Row],[Status ]]="UNPAID",Table6[[#This Row],[Outstanding Amount]],"")</f>
        <v/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2:40" x14ac:dyDescent="0.3">
      <c r="B42" s="1"/>
      <c r="C42" s="81">
        <f t="shared" si="0"/>
        <v>35</v>
      </c>
      <c r="D42" s="81" t="str">
        <f>PR!D40</f>
        <v>INV-2026-035</v>
      </c>
      <c r="E42" s="81" t="str">
        <f>PR!E40</f>
        <v>Finley Clark</v>
      </c>
      <c r="F42" s="82">
        <f>PR!F40</f>
        <v>46296</v>
      </c>
      <c r="G42" s="81">
        <f>PR!G40</f>
        <v>1425.5</v>
      </c>
      <c r="H42" s="81" t="str">
        <f>PR!H40</f>
        <v>Project delivery</v>
      </c>
      <c r="I42" s="81" t="str">
        <f>PR!I40</f>
        <v>PAY-7035</v>
      </c>
      <c r="J42" s="81">
        <f>PR!J40</f>
        <v>0</v>
      </c>
      <c r="K42" s="82">
        <f>PR!K40</f>
        <v>46300</v>
      </c>
      <c r="L42" s="81">
        <f>PR!L40</f>
        <v>712.75</v>
      </c>
      <c r="M42" s="81">
        <f>PR!M40</f>
        <v>712.75</v>
      </c>
      <c r="N42" s="81">
        <f ca="1">PR!N40</f>
        <v>712.75</v>
      </c>
      <c r="O42" s="93" t="str">
        <f>IF(Table6[[#This Row],[Outstanding Amount]]="Paid All","P",IF(Table6[[#This Row],[Outstanding Amount]]&lt;0,"U","D"))</f>
        <v>D</v>
      </c>
      <c r="P42" s="90" t="str">
        <f>IF(Table6[[#This Row],[Status Code]]="D","DUE",IF(Table6[[#This Row],[Status Code]]="U","UNPAID","PAID"))</f>
        <v>DUE</v>
      </c>
      <c r="Q42" s="95" t="str">
        <f>IF(Table6[[#This Row],[Status ]]="UNPAID",Table6[[#This Row],[Outstanding Amount]],"")</f>
        <v/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2:40" x14ac:dyDescent="0.3">
      <c r="B43" s="1"/>
      <c r="C43" s="83">
        <f t="shared" si="0"/>
        <v>36</v>
      </c>
      <c r="D43" s="83" t="str">
        <f>PR!D41</f>
        <v>INV-2026-036</v>
      </c>
      <c r="E43" s="81" t="str">
        <f>PR!E41</f>
        <v>Chloe Mitchell</v>
      </c>
      <c r="F43" s="82">
        <f>PR!F41</f>
        <v>46298</v>
      </c>
      <c r="G43" s="81">
        <f>PR!G41</f>
        <v>530</v>
      </c>
      <c r="H43" s="81" t="str">
        <f>PR!H41</f>
        <v>Marketing services</v>
      </c>
      <c r="I43" s="81" t="str">
        <f>PR!I41</f>
        <v>PAY-7036</v>
      </c>
      <c r="J43" s="81">
        <f>PR!J41</f>
        <v>560</v>
      </c>
      <c r="K43" s="82">
        <f>PR!K41</f>
        <v>46301</v>
      </c>
      <c r="L43" s="81">
        <f>PR!L41</f>
        <v>560</v>
      </c>
      <c r="M43" s="81">
        <f>PR!M41</f>
        <v>-30</v>
      </c>
      <c r="N43" s="81">
        <f>PR!N41</f>
        <v>560</v>
      </c>
      <c r="O43" s="93" t="str">
        <f>IF(Table6[[#This Row],[Outstanding Amount]]="Paid All","P",IF(Table6[[#This Row],[Outstanding Amount]]&lt;0,"U","D"))</f>
        <v>U</v>
      </c>
      <c r="P43" s="90" t="str">
        <f>IF(Table6[[#This Row],[Status Code]]="D","DUE",IF(Table6[[#This Row],[Status Code]]="U","UNPAID","PAID"))</f>
        <v>UNPAID</v>
      </c>
      <c r="Q43" s="95">
        <f>IF(Table6[[#This Row],[Status ]]="UNPAID",Table6[[#This Row],[Outstanding Amount]],"")</f>
        <v>-30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2:40" x14ac:dyDescent="0.3">
      <c r="B44" s="1"/>
      <c r="C44" s="81">
        <f t="shared" si="0"/>
        <v>37</v>
      </c>
      <c r="D44" s="81" t="str">
        <f>PR!D42</f>
        <v>INV-2026-037</v>
      </c>
      <c r="E44" s="81" t="str">
        <f>PR!E42</f>
        <v>Mason Thompson</v>
      </c>
      <c r="F44" s="82">
        <f>PR!F42</f>
        <v>46300</v>
      </c>
      <c r="G44" s="81">
        <f>PR!G42</f>
        <v>975.25</v>
      </c>
      <c r="H44" s="81" t="str">
        <f>PR!H42</f>
        <v>Maintenance services</v>
      </c>
      <c r="I44" s="81" t="str">
        <f>PR!I42</f>
        <v>PAY-7037</v>
      </c>
      <c r="J44" s="81">
        <f>PR!J42</f>
        <v>0</v>
      </c>
      <c r="K44" s="82">
        <f>PR!K42</f>
        <v>46302</v>
      </c>
      <c r="L44" s="81">
        <f>PR!L42</f>
        <v>487.625</v>
      </c>
      <c r="M44" s="81">
        <f>PR!M42</f>
        <v>487.625</v>
      </c>
      <c r="N44" s="81">
        <f ca="1">PR!N42</f>
        <v>487.625</v>
      </c>
      <c r="O44" s="93" t="str">
        <f>IF(Table6[[#This Row],[Outstanding Amount]]="Paid All","P",IF(Table6[[#This Row],[Outstanding Amount]]&lt;0,"U","D"))</f>
        <v>D</v>
      </c>
      <c r="P44" s="90" t="str">
        <f>IF(Table6[[#This Row],[Status Code]]="D","DUE",IF(Table6[[#This Row],[Status Code]]="U","UNPAID","PAID"))</f>
        <v>DUE</v>
      </c>
      <c r="Q44" s="95" t="str">
        <f>IF(Table6[[#This Row],[Status ]]="UNPAID",Table6[[#This Row],[Outstanding Amount]],"")</f>
        <v/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2:40" x14ac:dyDescent="0.3">
      <c r="B45" s="1"/>
      <c r="C45" s="83">
        <f t="shared" si="0"/>
        <v>38</v>
      </c>
      <c r="D45" s="83" t="str">
        <f>PR!D43</f>
        <v>INV-2026-038</v>
      </c>
      <c r="E45" s="81" t="str">
        <f>PR!E43</f>
        <v>Sophie Wilson</v>
      </c>
      <c r="F45" s="82">
        <f>PR!F43</f>
        <v>46302</v>
      </c>
      <c r="G45" s="81">
        <f>PR!G43</f>
        <v>1850</v>
      </c>
      <c r="H45" s="81" t="str">
        <f>PR!H43</f>
        <v>Software licence</v>
      </c>
      <c r="I45" s="81" t="str">
        <f>PR!I43</f>
        <v>PAY-7038</v>
      </c>
      <c r="J45" s="81">
        <f>PR!J43</f>
        <v>0</v>
      </c>
      <c r="K45" s="82">
        <f>PR!K43</f>
        <v>46304</v>
      </c>
      <c r="L45" s="81">
        <f>PR!L43</f>
        <v>925</v>
      </c>
      <c r="M45" s="81">
        <f>PR!M43</f>
        <v>925</v>
      </c>
      <c r="N45" s="81">
        <f ca="1">PR!N43</f>
        <v>925</v>
      </c>
      <c r="O45" s="93" t="str">
        <f>IF(Table6[[#This Row],[Outstanding Amount]]="Paid All","P",IF(Table6[[#This Row],[Outstanding Amount]]&lt;0,"U","D"))</f>
        <v>D</v>
      </c>
      <c r="P45" s="90" t="str">
        <f>IF(Table6[[#This Row],[Status Code]]="D","DUE",IF(Table6[[#This Row],[Status Code]]="U","UNPAID","PAID"))</f>
        <v>DUE</v>
      </c>
      <c r="Q45" s="95" t="str">
        <f>IF(Table6[[#This Row],[Status ]]="UNPAID",Table6[[#This Row],[Outstanding Amount]],"")</f>
        <v/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2:40" x14ac:dyDescent="0.3">
      <c r="B46" s="1"/>
      <c r="C46" s="81">
        <f t="shared" si="0"/>
        <v>39</v>
      </c>
      <c r="D46" s="81" t="str">
        <f>PR!D44</f>
        <v>INV-2026-039</v>
      </c>
      <c r="E46" s="81" t="str">
        <f>PR!E44</f>
        <v>Teddy Carter</v>
      </c>
      <c r="F46" s="82">
        <f>PR!F44</f>
        <v>46304</v>
      </c>
      <c r="G46" s="81">
        <f>PR!G44</f>
        <v>280</v>
      </c>
      <c r="H46" s="81" t="str">
        <f>PR!H44</f>
        <v>Stationery order</v>
      </c>
      <c r="I46" s="81" t="str">
        <f>PR!I44</f>
        <v>PAY-7039</v>
      </c>
      <c r="J46" s="81">
        <f>PR!J44</f>
        <v>0</v>
      </c>
      <c r="K46" s="82">
        <f>PR!K44</f>
        <v>46308</v>
      </c>
      <c r="L46" s="81">
        <f>PR!L44</f>
        <v>140</v>
      </c>
      <c r="M46" s="81">
        <f>PR!M44</f>
        <v>140</v>
      </c>
      <c r="N46" s="81">
        <f ca="1">PR!N44</f>
        <v>140</v>
      </c>
      <c r="O46" s="93" t="str">
        <f>IF(Table6[[#This Row],[Outstanding Amount]]="Paid All","P",IF(Table6[[#This Row],[Outstanding Amount]]&lt;0,"U","D"))</f>
        <v>D</v>
      </c>
      <c r="P46" s="90" t="str">
        <f>IF(Table6[[#This Row],[Status Code]]="D","DUE",IF(Table6[[#This Row],[Status Code]]="U","UNPAID","PAID"))</f>
        <v>DUE</v>
      </c>
      <c r="Q46" s="95" t="str">
        <f>IF(Table6[[#This Row],[Status ]]="UNPAID",Table6[[#This Row],[Outstanding Amount]],"")</f>
        <v/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2:40" x14ac:dyDescent="0.3">
      <c r="B47" s="1"/>
      <c r="C47" s="83">
        <f t="shared" si="0"/>
        <v>40</v>
      </c>
      <c r="D47" s="83" t="str">
        <f>PR!D45</f>
        <v>INV-2026-040</v>
      </c>
      <c r="E47" s="81" t="str">
        <f>PR!E45</f>
        <v>Millie Bennett</v>
      </c>
      <c r="F47" s="82">
        <f>PR!F45</f>
        <v>46306</v>
      </c>
      <c r="G47" s="81">
        <f>PR!G45</f>
        <v>1095.75</v>
      </c>
      <c r="H47" s="81" t="str">
        <f>PR!H45</f>
        <v>Training services</v>
      </c>
      <c r="I47" s="81" t="str">
        <f>PR!I45</f>
        <v>PAY-7040</v>
      </c>
      <c r="J47" s="81">
        <f>PR!J45</f>
        <v>0</v>
      </c>
      <c r="K47" s="82">
        <f>PR!K45</f>
        <v>46308</v>
      </c>
      <c r="L47" s="81">
        <f>PR!L45</f>
        <v>547.875</v>
      </c>
      <c r="M47" s="81">
        <f>PR!M45</f>
        <v>547.875</v>
      </c>
      <c r="N47" s="81">
        <f ca="1">PR!N45</f>
        <v>547.875</v>
      </c>
      <c r="O47" s="93" t="str">
        <f>IF(Table6[[#This Row],[Outstanding Amount]]="Paid All","P",IF(Table6[[#This Row],[Outstanding Amount]]&lt;0,"U","D"))</f>
        <v>D</v>
      </c>
      <c r="P47" s="90" t="str">
        <f>IF(Table6[[#This Row],[Status Code]]="D","DUE",IF(Table6[[#This Row],[Status Code]]="U","UNPAID","PAID"))</f>
        <v>DUE</v>
      </c>
      <c r="Q47" s="95" t="str">
        <f>IF(Table6[[#This Row],[Status ]]="UNPAID",Table6[[#This Row],[Outstanding Amount]],"")</f>
        <v/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2:40" x14ac:dyDescent="0.3">
      <c r="B48" s="1"/>
      <c r="C48" s="81">
        <f t="shared" si="0"/>
        <v>41</v>
      </c>
      <c r="D48" s="81" t="str">
        <f>PR!D46</f>
        <v>INV-2026-041</v>
      </c>
      <c r="E48" s="81" t="str">
        <f>PR!E46</f>
        <v>Benjamin Harris</v>
      </c>
      <c r="F48" s="82">
        <f>PR!F46</f>
        <v>46308</v>
      </c>
      <c r="G48" s="81">
        <f>PR!G46</f>
        <v>650</v>
      </c>
      <c r="H48" s="81" t="str">
        <f>PR!H46</f>
        <v>Office supplies</v>
      </c>
      <c r="I48" s="81" t="str">
        <f>PR!I46</f>
        <v>PAY-7041</v>
      </c>
      <c r="J48" s="81">
        <f>PR!J46</f>
        <v>0</v>
      </c>
      <c r="K48" s="82">
        <f>PR!K46</f>
        <v>46310</v>
      </c>
      <c r="L48" s="81">
        <f>PR!L46</f>
        <v>325</v>
      </c>
      <c r="M48" s="81">
        <f>PR!M46</f>
        <v>325</v>
      </c>
      <c r="N48" s="81">
        <f ca="1">PR!N46</f>
        <v>325</v>
      </c>
      <c r="O48" s="93" t="str">
        <f>IF(Table6[[#This Row],[Outstanding Amount]]="Paid All","P",IF(Table6[[#This Row],[Outstanding Amount]]&lt;0,"U","D"))</f>
        <v>D</v>
      </c>
      <c r="P48" s="90" t="str">
        <f>IF(Table6[[#This Row],[Status Code]]="D","DUE",IF(Table6[[#This Row],[Status Code]]="U","UNPAID","PAID"))</f>
        <v>DUE</v>
      </c>
      <c r="Q48" s="95" t="str">
        <f>IF(Table6[[#This Row],[Status ]]="UNPAID",Table6[[#This Row],[Outstanding Amount]],"")</f>
        <v/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2:40" x14ac:dyDescent="0.3">
      <c r="B49" s="1"/>
      <c r="C49" s="83">
        <f t="shared" si="0"/>
        <v>42</v>
      </c>
      <c r="D49" s="83" t="str">
        <f>PR!D47</f>
        <v>INV-2026-042</v>
      </c>
      <c r="E49" s="81" t="str">
        <f>PR!E47</f>
        <v>Aria Martin</v>
      </c>
      <c r="F49" s="82">
        <f>PR!F47</f>
        <v>46310</v>
      </c>
      <c r="G49" s="81">
        <f>PR!G47</f>
        <v>1980.5</v>
      </c>
      <c r="H49" s="81" t="str">
        <f>PR!H47</f>
        <v>Consulting services</v>
      </c>
      <c r="I49" s="81" t="str">
        <f>PR!I47</f>
        <v>PAY-7042</v>
      </c>
      <c r="J49" s="81">
        <f>PR!J47</f>
        <v>0</v>
      </c>
      <c r="K49" s="82">
        <f>PR!K47</f>
        <v>46314</v>
      </c>
      <c r="L49" s="81">
        <f>PR!L47</f>
        <v>990.25</v>
      </c>
      <c r="M49" s="81">
        <f>PR!M47</f>
        <v>990.25</v>
      </c>
      <c r="N49" s="81">
        <f ca="1">PR!N47</f>
        <v>990.25</v>
      </c>
      <c r="O49" s="93" t="str">
        <f>IF(Table6[[#This Row],[Outstanding Amount]]="Paid All","P",IF(Table6[[#This Row],[Outstanding Amount]]&lt;0,"U","D"))</f>
        <v>D</v>
      </c>
      <c r="P49" s="90" t="str">
        <f>IF(Table6[[#This Row],[Status Code]]="D","DUE",IF(Table6[[#This Row],[Status Code]]="U","UNPAID","PAID"))</f>
        <v>DUE</v>
      </c>
      <c r="Q49" s="95" t="str">
        <f>IF(Table6[[#This Row],[Status ]]="UNPAID",Table6[[#This Row],[Outstanding Amount]],"")</f>
        <v/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2:40" x14ac:dyDescent="0.3">
      <c r="B50" s="1"/>
      <c r="C50" s="81">
        <f t="shared" si="0"/>
        <v>43</v>
      </c>
      <c r="D50" s="81" t="str">
        <f>PR!D48</f>
        <v>INV-2026-043</v>
      </c>
      <c r="E50" s="81" t="str">
        <f>PR!E48</f>
        <v>Daniel Moore</v>
      </c>
      <c r="F50" s="82">
        <f>PR!F48</f>
        <v>46311</v>
      </c>
      <c r="G50" s="81">
        <f>PR!G48</f>
        <v>845</v>
      </c>
      <c r="H50" s="81" t="str">
        <f>PR!H48</f>
        <v>Equipment purchase</v>
      </c>
      <c r="I50" s="81" t="str">
        <f>PR!I48</f>
        <v>PAY-7043</v>
      </c>
      <c r="J50" s="81">
        <f>PR!J48</f>
        <v>0</v>
      </c>
      <c r="K50" s="82">
        <f>PR!K48</f>
        <v>46315</v>
      </c>
      <c r="L50" s="81">
        <f>PR!L48</f>
        <v>422.5</v>
      </c>
      <c r="M50" s="81">
        <f>PR!M48</f>
        <v>422.5</v>
      </c>
      <c r="N50" s="81">
        <f ca="1">PR!N48</f>
        <v>422.5</v>
      </c>
      <c r="O50" s="93" t="str">
        <f>IF(Table6[[#This Row],[Outstanding Amount]]="Paid All","P",IF(Table6[[#This Row],[Outstanding Amount]]&lt;0,"U","D"))</f>
        <v>D</v>
      </c>
      <c r="P50" s="90" t="str">
        <f>IF(Table6[[#This Row],[Status Code]]="D","DUE",IF(Table6[[#This Row],[Status Code]]="U","UNPAID","PAID"))</f>
        <v>DUE</v>
      </c>
      <c r="Q50" s="95" t="str">
        <f>IF(Table6[[#This Row],[Status ]]="UNPAID",Table6[[#This Row],[Outstanding Amount]],"")</f>
        <v/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2:40" x14ac:dyDescent="0.3">
      <c r="B51" s="1"/>
      <c r="C51" s="83">
        <f t="shared" si="0"/>
        <v>44</v>
      </c>
      <c r="D51" s="83" t="str">
        <f>PR!D49</f>
        <v>INV-2026-044</v>
      </c>
      <c r="E51" s="81" t="str">
        <f>PR!E49</f>
        <v>Maisie Taylor</v>
      </c>
      <c r="F51" s="82">
        <f>PR!F49</f>
        <v>46253</v>
      </c>
      <c r="G51" s="81">
        <f>PR!G49</f>
        <v>420.25</v>
      </c>
      <c r="H51" s="81" t="str">
        <f>PR!H49</f>
        <v>Monthly subscription</v>
      </c>
      <c r="I51" s="81" t="str">
        <f>PR!I49</f>
        <v>PAY-7044</v>
      </c>
      <c r="J51" s="81">
        <f>PR!J49</f>
        <v>0</v>
      </c>
      <c r="K51" s="82">
        <f>PR!K49</f>
        <v>46255</v>
      </c>
      <c r="L51" s="81">
        <f>PR!L49</f>
        <v>210.125</v>
      </c>
      <c r="M51" s="81">
        <f>PR!M49</f>
        <v>210.125</v>
      </c>
      <c r="N51" s="81">
        <f ca="1">PR!N49</f>
        <v>245.84625</v>
      </c>
      <c r="O51" s="93" t="str">
        <f>IF(Table6[[#This Row],[Outstanding Amount]]="Paid All","P",IF(Table6[[#This Row],[Outstanding Amount]]&lt;0,"U","D"))</f>
        <v>D</v>
      </c>
      <c r="P51" s="90" t="str">
        <f>IF(Table6[[#This Row],[Status Code]]="D","DUE",IF(Table6[[#This Row],[Status Code]]="U","UNPAID","PAID"))</f>
        <v>DUE</v>
      </c>
      <c r="Q51" s="95" t="str">
        <f>IF(Table6[[#This Row],[Status ]]="UNPAID",Table6[[#This Row],[Outstanding Amount]],"")</f>
        <v/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2:40" x14ac:dyDescent="0.3">
      <c r="B52" s="1"/>
      <c r="C52" s="81">
        <f t="shared" si="0"/>
        <v>45</v>
      </c>
      <c r="D52" s="81" t="str">
        <f>PR!D50</f>
        <v>INV-2026-045</v>
      </c>
      <c r="E52" s="81" t="str">
        <f>PR!E50</f>
        <v>Samuel Anderson</v>
      </c>
      <c r="F52" s="82">
        <f>PR!F50</f>
        <v>46258</v>
      </c>
      <c r="G52" s="81">
        <f>PR!G50</f>
        <v>2650</v>
      </c>
      <c r="H52" s="81" t="str">
        <f>PR!H50</f>
        <v>Project delivery</v>
      </c>
      <c r="I52" s="81" t="str">
        <f>PR!I50</f>
        <v>PAY-7045</v>
      </c>
      <c r="J52" s="81">
        <f>PR!J50</f>
        <v>0</v>
      </c>
      <c r="K52" s="82">
        <f>PR!K50</f>
        <v>46260</v>
      </c>
      <c r="L52" s="81">
        <f>PR!L50</f>
        <v>1325</v>
      </c>
      <c r="M52" s="81">
        <f>PR!M50</f>
        <v>1325</v>
      </c>
      <c r="N52" s="81">
        <f ca="1">PR!N50</f>
        <v>1510.5</v>
      </c>
      <c r="O52" s="93" t="str">
        <f>IF(Table6[[#This Row],[Outstanding Amount]]="Paid All","P",IF(Table6[[#This Row],[Outstanding Amount]]&lt;0,"U","D"))</f>
        <v>D</v>
      </c>
      <c r="P52" s="90" t="str">
        <f>IF(Table6[[#This Row],[Status Code]]="D","DUE",IF(Table6[[#This Row],[Status Code]]="U","UNPAID","PAID"))</f>
        <v>DUE</v>
      </c>
      <c r="Q52" s="95" t="str">
        <f>IF(Table6[[#This Row],[Status ]]="UNPAID",Table6[[#This Row],[Outstanding Amount]],"")</f>
        <v/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2:40" x14ac:dyDescent="0.3">
      <c r="B53" s="1"/>
      <c r="C53" s="83">
        <f t="shared" si="0"/>
        <v>46</v>
      </c>
      <c r="D53" s="83" t="str">
        <f>PR!D51</f>
        <v>INV-2026-046</v>
      </c>
      <c r="E53" s="81" t="str">
        <f>PR!E51</f>
        <v>Sienna Thomas</v>
      </c>
      <c r="F53" s="82">
        <f>PR!F51</f>
        <v>46263</v>
      </c>
      <c r="G53" s="81">
        <f>PR!G51</f>
        <v>715.5</v>
      </c>
      <c r="H53" s="81" t="str">
        <f>PR!H51</f>
        <v>Marketing services</v>
      </c>
      <c r="I53" s="81" t="str">
        <f>PR!I51</f>
        <v>PAY-7046</v>
      </c>
      <c r="J53" s="81">
        <f>PR!J51</f>
        <v>0</v>
      </c>
      <c r="K53" s="82">
        <f>PR!K51</f>
        <v>46266</v>
      </c>
      <c r="L53" s="81">
        <f>PR!L51</f>
        <v>357.75</v>
      </c>
      <c r="M53" s="81">
        <f>PR!M51</f>
        <v>357.75</v>
      </c>
      <c r="N53" s="81">
        <f ca="1">PR!N51</f>
        <v>397.10250000000002</v>
      </c>
      <c r="O53" s="93" t="str">
        <f>IF(Table6[[#This Row],[Outstanding Amount]]="Paid All","P",IF(Table6[[#This Row],[Outstanding Amount]]&lt;0,"U","D"))</f>
        <v>D</v>
      </c>
      <c r="P53" s="90" t="str">
        <f>IF(Table6[[#This Row],[Status Code]]="D","DUE",IF(Table6[[#This Row],[Status Code]]="U","UNPAID","PAID"))</f>
        <v>DUE</v>
      </c>
      <c r="Q53" s="95" t="str">
        <f>IF(Table6[[#This Row],[Status ]]="UNPAID",Table6[[#This Row],[Outstanding Amount]],"")</f>
        <v/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2:40" x14ac:dyDescent="0.3">
      <c r="B54" s="1"/>
      <c r="C54" s="81">
        <f t="shared" si="0"/>
        <v>47</v>
      </c>
      <c r="D54" s="81" t="str">
        <f>PR!D52</f>
        <v>INV-2026-047</v>
      </c>
      <c r="E54" s="81" t="str">
        <f>PR!E52</f>
        <v>Joseph Jackson</v>
      </c>
      <c r="F54" s="82">
        <f>PR!F52</f>
        <v>46269</v>
      </c>
      <c r="G54" s="81">
        <f>PR!G52</f>
        <v>390</v>
      </c>
      <c r="H54" s="81" t="str">
        <f>PR!H52</f>
        <v>Maintenance services</v>
      </c>
      <c r="I54" s="81" t="str">
        <f>PR!I52</f>
        <v>PAY-7047</v>
      </c>
      <c r="J54" s="81">
        <f>PR!J52</f>
        <v>0</v>
      </c>
      <c r="K54" s="82">
        <f>PR!K52</f>
        <v>46273</v>
      </c>
      <c r="L54" s="81">
        <f>PR!L52</f>
        <v>195</v>
      </c>
      <c r="M54" s="81">
        <f>PR!M52</f>
        <v>195</v>
      </c>
      <c r="N54" s="81">
        <f ca="1">PR!N52</f>
        <v>210.6</v>
      </c>
      <c r="O54" s="93" t="str">
        <f>IF(Table6[[#This Row],[Outstanding Amount]]="Paid All","P",IF(Table6[[#This Row],[Outstanding Amount]]&lt;0,"U","D"))</f>
        <v>D</v>
      </c>
      <c r="P54" s="90" t="str">
        <f>IF(Table6[[#This Row],[Status Code]]="D","DUE",IF(Table6[[#This Row],[Status Code]]="U","UNPAID","PAID"))</f>
        <v>DUE</v>
      </c>
      <c r="Q54" s="95" t="str">
        <f>IF(Table6[[#This Row],[Status ]]="UNPAID",Table6[[#This Row],[Outstanding Amount]],"")</f>
        <v/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2:40" x14ac:dyDescent="0.3">
      <c r="B55" s="1"/>
      <c r="C55" s="83">
        <f t="shared" si="0"/>
        <v>48</v>
      </c>
      <c r="D55" s="83" t="str">
        <f>PR!D53</f>
        <v>INV-2026-048</v>
      </c>
      <c r="E55" s="81" t="str">
        <f>PR!E53</f>
        <v>Phoebe White</v>
      </c>
      <c r="F55" s="82">
        <f>PR!F53</f>
        <v>46273</v>
      </c>
      <c r="G55" s="81">
        <f>PR!G53</f>
        <v>1560.75</v>
      </c>
      <c r="H55" s="81" t="str">
        <f>PR!H53</f>
        <v>Software licence</v>
      </c>
      <c r="I55" s="81" t="str">
        <f>PR!I53</f>
        <v>PAY-7048</v>
      </c>
      <c r="J55" s="81">
        <f>PR!J53</f>
        <v>0</v>
      </c>
      <c r="K55" s="82">
        <f>PR!K53</f>
        <v>46275</v>
      </c>
      <c r="L55" s="81">
        <f>PR!L53</f>
        <v>780.375</v>
      </c>
      <c r="M55" s="81">
        <f>PR!M53</f>
        <v>780.375</v>
      </c>
      <c r="N55" s="81">
        <f ca="1">PR!N53</f>
        <v>819.39374999999995</v>
      </c>
      <c r="O55" s="93" t="str">
        <f>IF(Table6[[#This Row],[Outstanding Amount]]="Paid All","P",IF(Table6[[#This Row],[Outstanding Amount]]&lt;0,"U","D"))</f>
        <v>D</v>
      </c>
      <c r="P55" s="90" t="str">
        <f>IF(Table6[[#This Row],[Status Code]]="D","DUE",IF(Table6[[#This Row],[Status Code]]="U","UNPAID","PAID"))</f>
        <v>DUE</v>
      </c>
      <c r="Q55" s="95" t="str">
        <f>IF(Table6[[#This Row],[Status ]]="UNPAID",Table6[[#This Row],[Outstanding Amount]],"")</f>
        <v/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2:40" x14ac:dyDescent="0.3">
      <c r="B56" s="1"/>
      <c r="C56" s="81">
        <f t="shared" si="0"/>
        <v>49</v>
      </c>
      <c r="D56" s="81" t="str">
        <f>PR!D54</f>
        <v>INV-2026-049</v>
      </c>
      <c r="E56" s="81" t="str">
        <f>PR!E54</f>
        <v>Alexander Harris</v>
      </c>
      <c r="F56" s="82">
        <f>PR!F54</f>
        <v>46278</v>
      </c>
      <c r="G56" s="81">
        <f>PR!G54</f>
        <v>305</v>
      </c>
      <c r="H56" s="81" t="str">
        <f>PR!H54</f>
        <v>Stationery order</v>
      </c>
      <c r="I56" s="81" t="str">
        <f>PR!I54</f>
        <v>PAY-7049</v>
      </c>
      <c r="J56" s="81">
        <f>PR!J54</f>
        <v>0</v>
      </c>
      <c r="K56" s="82">
        <f>PR!K54</f>
        <v>46280</v>
      </c>
      <c r="L56" s="81">
        <f>PR!L54</f>
        <v>152.5</v>
      </c>
      <c r="M56" s="81">
        <f>PR!M54</f>
        <v>152.5</v>
      </c>
      <c r="N56" s="81">
        <f ca="1">PR!N54</f>
        <v>155.55000000000001</v>
      </c>
      <c r="O56" s="93" t="str">
        <f>IF(Table6[[#This Row],[Outstanding Amount]]="Paid All","P",IF(Table6[[#This Row],[Outstanding Amount]]&lt;0,"U","D"))</f>
        <v>D</v>
      </c>
      <c r="P56" s="90" t="str">
        <f>IF(Table6[[#This Row],[Status Code]]="D","DUE",IF(Table6[[#This Row],[Status Code]]="U","UNPAID","PAID"))</f>
        <v>DUE</v>
      </c>
      <c r="Q56" s="95" t="str">
        <f>IF(Table6[[#This Row],[Status ]]="UNPAID",Table6[[#This Row],[Outstanding Amount]],"")</f>
        <v/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2:40" x14ac:dyDescent="0.3">
      <c r="B57" s="1"/>
      <c r="C57" s="83">
        <f t="shared" si="0"/>
        <v>50</v>
      </c>
      <c r="D57" s="83" t="str">
        <f>PR!D55</f>
        <v>INV-2026-050</v>
      </c>
      <c r="E57" s="81" t="str">
        <f>PR!E55</f>
        <v>Matilda Martin</v>
      </c>
      <c r="F57" s="82">
        <f>PR!F55</f>
        <v>46281</v>
      </c>
      <c r="G57" s="81">
        <f>PR!G55</f>
        <v>1240</v>
      </c>
      <c r="H57" s="81" t="str">
        <f>PR!H55</f>
        <v>Training services</v>
      </c>
      <c r="I57" s="81" t="str">
        <f>PR!I55</f>
        <v>PAY-7050</v>
      </c>
      <c r="J57" s="81">
        <f>PR!J55</f>
        <v>1240</v>
      </c>
      <c r="K57" s="82">
        <f>PR!K55</f>
        <v>46283</v>
      </c>
      <c r="L57" s="81">
        <f>PR!L55</f>
        <v>1240</v>
      </c>
      <c r="M57" s="81" t="str">
        <f>PR!M55</f>
        <v>Paid All</v>
      </c>
      <c r="N57" s="81">
        <f ca="1">PR!N55</f>
        <v>1240</v>
      </c>
      <c r="O57" s="93" t="str">
        <f>IF(Table6[[#This Row],[Outstanding Amount]]="Paid All","P",IF(Table6[[#This Row],[Outstanding Amount]]&lt;0,"U","D"))</f>
        <v>P</v>
      </c>
      <c r="P57" s="90" t="str">
        <f>IF(Table6[[#This Row],[Status Code]]="D","DUE",IF(Table6[[#This Row],[Status Code]]="U","UNPAID","PAID"))</f>
        <v>PAID</v>
      </c>
      <c r="Q57" s="95" t="str">
        <f>IF(Table6[[#This Row],[Status ]]="UNPAID",Table6[[#This Row],[Outstanding Amount]],"")</f>
        <v/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2:40" ht="15" thickBot="1" x14ac:dyDescent="0.35">
      <c r="B58" s="4"/>
      <c r="C58" s="81">
        <f t="shared" si="0"/>
        <v>51</v>
      </c>
      <c r="D58" s="81" t="str">
        <f>PR!D56</f>
        <v>INV-2026-051</v>
      </c>
      <c r="E58" s="81" t="str">
        <f>PR!E56</f>
        <v>Sebastian Moore</v>
      </c>
      <c r="F58" s="82">
        <f>PR!F56</f>
        <v>46284</v>
      </c>
      <c r="G58" s="81">
        <f>PR!G56</f>
        <v>890.5</v>
      </c>
      <c r="H58" s="81" t="str">
        <f>PR!H56</f>
        <v>Office supplies</v>
      </c>
      <c r="I58" s="81" t="str">
        <f>PR!I56</f>
        <v>PAY-7051</v>
      </c>
      <c r="J58" s="81">
        <f>PR!J56</f>
        <v>0</v>
      </c>
      <c r="K58" s="82">
        <f>PR!K56</f>
        <v>46287</v>
      </c>
      <c r="L58" s="81">
        <f>PR!L56</f>
        <v>445.25</v>
      </c>
      <c r="M58" s="81">
        <f>PR!M56</f>
        <v>445.25</v>
      </c>
      <c r="N58" s="81">
        <f ca="1">PR!N56</f>
        <v>445.25</v>
      </c>
      <c r="O58" s="93" t="str">
        <f>IF(Table6[[#This Row],[Outstanding Amount]]="Paid All","P",IF(Table6[[#This Row],[Outstanding Amount]]&lt;0,"U","D"))</f>
        <v>D</v>
      </c>
      <c r="P58" s="90" t="str">
        <f>IF(Table6[[#This Row],[Status Code]]="D","DUE",IF(Table6[[#This Row],[Status Code]]="U","UNPAID","PAID"))</f>
        <v>DUE</v>
      </c>
      <c r="Q58" s="96" t="str">
        <f>IF(Table6[[#This Row],[Status ]]="UNPAID",Table6[[#This Row],[Outstanding Amount]],"")</f>
        <v/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6"/>
    </row>
    <row r="59" spans="2:40" x14ac:dyDescent="0.3">
      <c r="C59" s="83">
        <f t="shared" si="0"/>
        <v>52</v>
      </c>
      <c r="D59" s="83" t="str">
        <f>PR!D57</f>
        <v>INV-2026-052</v>
      </c>
      <c r="E59" s="81" t="str">
        <f>PR!E57</f>
        <v>Harper Taylor</v>
      </c>
      <c r="F59" s="82">
        <f>PR!F57</f>
        <v>46288</v>
      </c>
      <c r="G59" s="81">
        <f>PR!G57</f>
        <v>2150</v>
      </c>
      <c r="H59" s="81" t="str">
        <f>PR!H57</f>
        <v>Consulting services</v>
      </c>
      <c r="I59" s="81" t="str">
        <f>PR!I57</f>
        <v>PAY-7052</v>
      </c>
      <c r="J59" s="81">
        <f>PR!J57</f>
        <v>0</v>
      </c>
      <c r="K59" s="82">
        <f>PR!K57</f>
        <v>46290</v>
      </c>
      <c r="L59" s="81">
        <f>PR!L57</f>
        <v>1075</v>
      </c>
      <c r="M59" s="81">
        <f>PR!M57</f>
        <v>1075</v>
      </c>
      <c r="N59" s="81">
        <f ca="1">PR!N57</f>
        <v>1075</v>
      </c>
      <c r="O59" s="93" t="str">
        <f>IF(Table6[[#This Row],[Outstanding Amount]]="Paid All","P",IF(Table6[[#This Row],[Outstanding Amount]]&lt;0,"U","D"))</f>
        <v>D</v>
      </c>
      <c r="P59" s="90" t="str">
        <f>IF(Table6[[#This Row],[Status Code]]="D","DUE",IF(Table6[[#This Row],[Status Code]]="U","UNPAID","PAID"))</f>
        <v>DUE</v>
      </c>
      <c r="Q59" s="97" t="str">
        <f>IF(Table6[[#This Row],[Status ]]="UNPAID",Table6[[#This Row],[Outstanding Amount]],"")</f>
        <v/>
      </c>
    </row>
    <row r="60" spans="2:40" x14ac:dyDescent="0.3">
      <c r="C60" s="81">
        <f t="shared" si="0"/>
        <v>53</v>
      </c>
      <c r="D60" s="81" t="str">
        <f>PR!D58</f>
        <v>INV-2026-053</v>
      </c>
      <c r="E60" s="81" t="str">
        <f>PR!E58</f>
        <v>Dylan Anderson</v>
      </c>
      <c r="F60" s="82">
        <f>PR!F58</f>
        <v>46291</v>
      </c>
      <c r="G60" s="81">
        <f>PR!G58</f>
        <v>475.25</v>
      </c>
      <c r="H60" s="81" t="str">
        <f>PR!H58</f>
        <v>Equipment purchase</v>
      </c>
      <c r="I60" s="81" t="str">
        <f>PR!I58</f>
        <v>PAY-7053</v>
      </c>
      <c r="J60" s="81">
        <f>PR!J58</f>
        <v>0</v>
      </c>
      <c r="K60" s="82">
        <f>PR!K58</f>
        <v>46294</v>
      </c>
      <c r="L60" s="81">
        <f>PR!L58</f>
        <v>237.625</v>
      </c>
      <c r="M60" s="81">
        <f>PR!M58</f>
        <v>237.625</v>
      </c>
      <c r="N60" s="81">
        <f ca="1">PR!N58</f>
        <v>237.625</v>
      </c>
      <c r="O60" s="93" t="str">
        <f>IF(Table6[[#This Row],[Outstanding Amount]]="Paid All","P",IF(Table6[[#This Row],[Outstanding Amount]]&lt;0,"U","D"))</f>
        <v>D</v>
      </c>
      <c r="P60" s="90" t="str">
        <f>IF(Table6[[#This Row],[Status Code]]="D","DUE",IF(Table6[[#This Row],[Status Code]]="U","UNPAID","PAID"))</f>
        <v>DUE</v>
      </c>
      <c r="Q60" s="97" t="str">
        <f>IF(Table6[[#This Row],[Status ]]="UNPAID",Table6[[#This Row],[Outstanding Amount]],"")</f>
        <v/>
      </c>
    </row>
    <row r="61" spans="2:40" x14ac:dyDescent="0.3">
      <c r="C61" s="83">
        <f t="shared" si="0"/>
        <v>54</v>
      </c>
      <c r="D61" s="83" t="str">
        <f>PR!D59</f>
        <v>INV-2026-054</v>
      </c>
      <c r="E61" s="81" t="str">
        <f>PR!E59</f>
        <v>Violet Thomas</v>
      </c>
      <c r="F61" s="82">
        <f>PR!F59</f>
        <v>46264</v>
      </c>
      <c r="G61" s="81">
        <f>PR!G59</f>
        <v>1375</v>
      </c>
      <c r="H61" s="81" t="str">
        <f>PR!H59</f>
        <v>Monthly subscription</v>
      </c>
      <c r="I61" s="81" t="str">
        <f>PR!I59</f>
        <v>PAY-7054</v>
      </c>
      <c r="J61" s="81">
        <f>PR!J59</f>
        <v>0</v>
      </c>
      <c r="K61" s="82">
        <f>PR!K59</f>
        <v>46266</v>
      </c>
      <c r="L61" s="81">
        <f>PR!L59</f>
        <v>687.5</v>
      </c>
      <c r="M61" s="81">
        <f>PR!M59</f>
        <v>687.5</v>
      </c>
      <c r="N61" s="81">
        <f ca="1">PR!N59</f>
        <v>763.125</v>
      </c>
      <c r="O61" s="93" t="str">
        <f>IF(Table6[[#This Row],[Outstanding Amount]]="Paid All","P",IF(Table6[[#This Row],[Outstanding Amount]]&lt;0,"U","D"))</f>
        <v>D</v>
      </c>
      <c r="P61" s="90" t="str">
        <f>IF(Table6[[#This Row],[Status Code]]="D","DUE",IF(Table6[[#This Row],[Status Code]]="U","UNPAID","PAID"))</f>
        <v>DUE</v>
      </c>
      <c r="Q61" s="97" t="str">
        <f>IF(Table6[[#This Row],[Status ]]="UNPAID",Table6[[#This Row],[Outstanding Amount]],"")</f>
        <v/>
      </c>
    </row>
    <row r="62" spans="2:40" x14ac:dyDescent="0.3">
      <c r="C62" s="81">
        <f t="shared" si="0"/>
        <v>55</v>
      </c>
      <c r="D62" s="81" t="str">
        <f>PR!D60</f>
        <v>INV-2026-055</v>
      </c>
      <c r="E62" s="81" t="str">
        <f>PR!E60</f>
        <v>Adam Jackson</v>
      </c>
      <c r="F62" s="82">
        <f>PR!F60</f>
        <v>46271</v>
      </c>
      <c r="G62" s="81">
        <f>PR!G60</f>
        <v>590</v>
      </c>
      <c r="H62" s="81" t="str">
        <f>PR!H60</f>
        <v>Project delivery</v>
      </c>
      <c r="I62" s="81" t="str">
        <f>PR!I60</f>
        <v>PAY-7055</v>
      </c>
      <c r="J62" s="81">
        <f>PR!J60</f>
        <v>0</v>
      </c>
      <c r="K62" s="82">
        <f>PR!K60</f>
        <v>46273</v>
      </c>
      <c r="L62" s="81">
        <f>PR!L60</f>
        <v>295</v>
      </c>
      <c r="M62" s="81">
        <f>PR!M60</f>
        <v>295</v>
      </c>
      <c r="N62" s="81">
        <f ca="1">PR!N60</f>
        <v>309.75</v>
      </c>
      <c r="O62" s="93" t="str">
        <f>IF(Table6[[#This Row],[Outstanding Amount]]="Paid All","P",IF(Table6[[#This Row],[Outstanding Amount]]&lt;0,"U","D"))</f>
        <v>D</v>
      </c>
      <c r="P62" s="90" t="str">
        <f>IF(Table6[[#This Row],[Status Code]]="D","DUE",IF(Table6[[#This Row],[Status Code]]="U","UNPAID","PAID"))</f>
        <v>DUE</v>
      </c>
      <c r="Q62" s="97" t="str">
        <f>IF(Table6[[#This Row],[Status ]]="UNPAID",Table6[[#This Row],[Outstanding Amount]],"")</f>
        <v/>
      </c>
    </row>
    <row r="63" spans="2:40" x14ac:dyDescent="0.3">
      <c r="C63" s="83">
        <f t="shared" si="0"/>
        <v>56</v>
      </c>
      <c r="D63" s="83" t="str">
        <f>PR!D61</f>
        <v>INV-2026-056</v>
      </c>
      <c r="E63" s="81" t="str">
        <f>PR!E61</f>
        <v>Esme White</v>
      </c>
      <c r="F63" s="82">
        <f>PR!F61</f>
        <v>46274</v>
      </c>
      <c r="G63" s="81">
        <f>PR!G61</f>
        <v>1920.5</v>
      </c>
      <c r="H63" s="81" t="str">
        <f>PR!H61</f>
        <v>Marketing services</v>
      </c>
      <c r="I63" s="81" t="str">
        <f>PR!I61</f>
        <v>PAY-7056</v>
      </c>
      <c r="J63" s="81">
        <f>PR!J61</f>
        <v>0</v>
      </c>
      <c r="K63" s="82">
        <f>PR!K61</f>
        <v>46276</v>
      </c>
      <c r="L63" s="81">
        <f>PR!L61</f>
        <v>960.25</v>
      </c>
      <c r="M63" s="81">
        <f>PR!M61</f>
        <v>960.25</v>
      </c>
      <c r="N63" s="81">
        <f ca="1">PR!N61</f>
        <v>1008.2625</v>
      </c>
      <c r="O63" s="93" t="str">
        <f>IF(Table6[[#This Row],[Outstanding Amount]]="Paid All","P",IF(Table6[[#This Row],[Outstanding Amount]]&lt;0,"U","D"))</f>
        <v>D</v>
      </c>
      <c r="P63" s="90" t="str">
        <f>IF(Table6[[#This Row],[Status Code]]="D","DUE",IF(Table6[[#This Row],[Status Code]]="U","UNPAID","PAID"))</f>
        <v>DUE</v>
      </c>
      <c r="Q63" s="97" t="str">
        <f>IF(Table6[[#This Row],[Status ]]="UNPAID",Table6[[#This Row],[Outstanding Amount]],"")</f>
        <v/>
      </c>
    </row>
    <row r="64" spans="2:40" x14ac:dyDescent="0.3">
      <c r="C64" s="81">
        <f t="shared" si="0"/>
        <v>57</v>
      </c>
      <c r="D64" s="81" t="str">
        <f>PR!D62</f>
        <v>INV-2026-057</v>
      </c>
      <c r="E64" s="81" t="str">
        <f>PR!E62</f>
        <v>Ryan Harris</v>
      </c>
      <c r="F64" s="82">
        <f>PR!F62</f>
        <v>46280</v>
      </c>
      <c r="G64" s="81">
        <f>PR!G62</f>
        <v>345.75</v>
      </c>
      <c r="H64" s="81" t="str">
        <f>PR!H62</f>
        <v>Maintenance services</v>
      </c>
      <c r="I64" s="81" t="str">
        <f>PR!I62</f>
        <v>PAY-7057</v>
      </c>
      <c r="J64" s="81">
        <f>PR!J62</f>
        <v>0</v>
      </c>
      <c r="K64" s="82">
        <f>PR!K62</f>
        <v>46282</v>
      </c>
      <c r="L64" s="81">
        <f>PR!L62</f>
        <v>172.875</v>
      </c>
      <c r="M64" s="81">
        <f>PR!M62</f>
        <v>172.875</v>
      </c>
      <c r="N64" s="81">
        <f ca="1">PR!N62</f>
        <v>176.33250000000001</v>
      </c>
      <c r="O64" s="93" t="str">
        <f>IF(Table6[[#This Row],[Outstanding Amount]]="Paid All","P",IF(Table6[[#This Row],[Outstanding Amount]]&lt;0,"U","D"))</f>
        <v>D</v>
      </c>
      <c r="P64" s="90" t="str">
        <f>IF(Table6[[#This Row],[Status Code]]="D","DUE",IF(Table6[[#This Row],[Status Code]]="U","UNPAID","PAID"))</f>
        <v>DUE</v>
      </c>
      <c r="Q64" s="97" t="str">
        <f>IF(Table6[[#This Row],[Status ]]="UNPAID",Table6[[#This Row],[Outstanding Amount]],"")</f>
        <v/>
      </c>
    </row>
    <row r="65" spans="3:17" x14ac:dyDescent="0.3">
      <c r="C65" s="83">
        <f t="shared" si="0"/>
        <v>58</v>
      </c>
      <c r="D65" s="83" t="str">
        <f>PR!D63</f>
        <v>INV-2026-058</v>
      </c>
      <c r="E65" s="81" t="str">
        <f>PR!E63</f>
        <v>Willow Martin</v>
      </c>
      <c r="F65" s="82">
        <f>PR!F63</f>
        <v>46285</v>
      </c>
      <c r="G65" s="81">
        <f>PR!G63</f>
        <v>1080</v>
      </c>
      <c r="H65" s="81" t="str">
        <f>PR!H63</f>
        <v>Software licence</v>
      </c>
      <c r="I65" s="81" t="str">
        <f>PR!I63</f>
        <v>PAY-7058</v>
      </c>
      <c r="J65" s="81">
        <f>PR!J63</f>
        <v>0</v>
      </c>
      <c r="K65" s="82">
        <f>PR!K63</f>
        <v>46287</v>
      </c>
      <c r="L65" s="81">
        <f>PR!L63</f>
        <v>540</v>
      </c>
      <c r="M65" s="81">
        <f>PR!M63</f>
        <v>540</v>
      </c>
      <c r="N65" s="81">
        <f ca="1">PR!N63</f>
        <v>540</v>
      </c>
      <c r="O65" s="93" t="str">
        <f>IF(Table6[[#This Row],[Outstanding Amount]]="Paid All","P",IF(Table6[[#This Row],[Outstanding Amount]]&lt;0,"U","D"))</f>
        <v>D</v>
      </c>
      <c r="P65" s="90" t="str">
        <f>IF(Table6[[#This Row],[Status Code]]="D","DUE",IF(Table6[[#This Row],[Status Code]]="U","UNPAID","PAID"))</f>
        <v>DUE</v>
      </c>
      <c r="Q65" s="97" t="str">
        <f>IF(Table6[[#This Row],[Status ]]="UNPAID",Table6[[#This Row],[Outstanding Amount]],"")</f>
        <v/>
      </c>
    </row>
    <row r="66" spans="3:17" x14ac:dyDescent="0.3">
      <c r="C66" s="81">
        <f t="shared" si="0"/>
        <v>59</v>
      </c>
      <c r="D66" s="81" t="str">
        <f>PR!D64</f>
        <v>INV-2026-059</v>
      </c>
      <c r="E66" s="81" t="str">
        <f>PR!E64</f>
        <v>Nathan Moore</v>
      </c>
      <c r="F66" s="82">
        <f>PR!F64</f>
        <v>46290</v>
      </c>
      <c r="G66" s="81">
        <f>PR!G64</f>
        <v>2420.25</v>
      </c>
      <c r="H66" s="81" t="str">
        <f>PR!H64</f>
        <v>Stationery order</v>
      </c>
      <c r="I66" s="81" t="str">
        <f>PR!I64</f>
        <v>PAY-7059</v>
      </c>
      <c r="J66" s="81">
        <f>PR!J64</f>
        <v>0</v>
      </c>
      <c r="K66" s="82">
        <f>PR!K64</f>
        <v>46294</v>
      </c>
      <c r="L66" s="81">
        <f>PR!L64</f>
        <v>1210.125</v>
      </c>
      <c r="M66" s="81">
        <f>PR!M64</f>
        <v>1210.125</v>
      </c>
      <c r="N66" s="81">
        <f ca="1">PR!N64</f>
        <v>1210.125</v>
      </c>
      <c r="O66" s="93" t="str">
        <f>IF(Table6[[#This Row],[Outstanding Amount]]="Paid All","P",IF(Table6[[#This Row],[Outstanding Amount]]&lt;0,"U","D"))</f>
        <v>D</v>
      </c>
      <c r="P66" s="90" t="str">
        <f>IF(Table6[[#This Row],[Status Code]]="D","DUE",IF(Table6[[#This Row],[Status Code]]="U","UNPAID","PAID"))</f>
        <v>DUE</v>
      </c>
      <c r="Q66" s="97" t="str">
        <f>IF(Table6[[#This Row],[Status ]]="UNPAID",Table6[[#This Row],[Outstanding Amount]],"")</f>
        <v/>
      </c>
    </row>
    <row r="67" spans="3:17" x14ac:dyDescent="0.3">
      <c r="C67" s="83">
        <f t="shared" si="0"/>
        <v>60</v>
      </c>
      <c r="D67" s="83" t="str">
        <f>PR!D65</f>
        <v>INV-2026-060</v>
      </c>
      <c r="E67" s="81" t="str">
        <f>PR!E65</f>
        <v>Luna Taylor</v>
      </c>
      <c r="F67" s="82">
        <f>PR!F65</f>
        <v>46297</v>
      </c>
      <c r="G67" s="81">
        <f>PR!G65</f>
        <v>695</v>
      </c>
      <c r="H67" s="81" t="str">
        <f>PR!H65</f>
        <v>Training services</v>
      </c>
      <c r="I67" s="81" t="str">
        <f>PR!I65</f>
        <v>PAY-7060</v>
      </c>
      <c r="J67" s="81">
        <f>PR!J65</f>
        <v>0</v>
      </c>
      <c r="K67" s="82">
        <f>PR!K65</f>
        <v>46301</v>
      </c>
      <c r="L67" s="81">
        <f>PR!L65</f>
        <v>347.5</v>
      </c>
      <c r="M67" s="81">
        <f>PR!M65</f>
        <v>347.5</v>
      </c>
      <c r="N67" s="81">
        <f ca="1">PR!N65</f>
        <v>347.5</v>
      </c>
      <c r="O67" s="93" t="str">
        <f>IF(Table6[[#This Row],[Outstanding Amount]]="Paid All","P",IF(Table6[[#This Row],[Outstanding Amount]]&lt;0,"U","D"))</f>
        <v>D</v>
      </c>
      <c r="P67" s="90" t="str">
        <f>IF(Table6[[#This Row],[Status Code]]="D","DUE",IF(Table6[[#This Row],[Status Code]]="U","UNPAID","PAID"))</f>
        <v>DUE</v>
      </c>
      <c r="Q67" s="97" t="str">
        <f>IF(Table6[[#This Row],[Status ]]="UNPAID",Table6[[#This Row],[Outstanding Amount]],"")</f>
        <v/>
      </c>
    </row>
    <row r="68" spans="3:17" x14ac:dyDescent="0.3">
      <c r="C68" s="81">
        <f t="shared" si="0"/>
        <v>61</v>
      </c>
      <c r="D68" s="81" t="str">
        <f>PR!D66</f>
        <v>INV-2026-061</v>
      </c>
      <c r="E68" s="81" t="str">
        <f>PR!E66</f>
        <v>Isaac Anderson</v>
      </c>
      <c r="F68" s="82">
        <f>PR!F66</f>
        <v>46300</v>
      </c>
      <c r="G68" s="81">
        <f>PR!G66</f>
        <v>1325.5</v>
      </c>
      <c r="H68" s="81" t="str">
        <f>PR!H66</f>
        <v>Office supplies</v>
      </c>
      <c r="I68" s="81" t="str">
        <f>PR!I66</f>
        <v>PAY-7061</v>
      </c>
      <c r="J68" s="81">
        <f>PR!J66</f>
        <v>0</v>
      </c>
      <c r="K68" s="82">
        <f>PR!K66</f>
        <v>46302</v>
      </c>
      <c r="L68" s="81">
        <f>PR!L66</f>
        <v>662.75</v>
      </c>
      <c r="M68" s="81">
        <f>PR!M66</f>
        <v>662.75</v>
      </c>
      <c r="N68" s="81">
        <f ca="1">PR!N66</f>
        <v>662.75</v>
      </c>
      <c r="O68" s="93" t="str">
        <f>IF(Table6[[#This Row],[Outstanding Amount]]="Paid All","P",IF(Table6[[#This Row],[Outstanding Amount]]&lt;0,"U","D"))</f>
        <v>D</v>
      </c>
      <c r="P68" s="90" t="str">
        <f>IF(Table6[[#This Row],[Status Code]]="D","DUE",IF(Table6[[#This Row],[Status Code]]="U","UNPAID","PAID"))</f>
        <v>DUE</v>
      </c>
      <c r="Q68" s="97" t="str">
        <f>IF(Table6[[#This Row],[Status ]]="UNPAID",Table6[[#This Row],[Outstanding Amount]],"")</f>
        <v/>
      </c>
    </row>
    <row r="69" spans="3:17" x14ac:dyDescent="0.3">
      <c r="C69" s="83">
        <f t="shared" si="0"/>
        <v>62</v>
      </c>
      <c r="D69" s="83" t="str">
        <f>PR!D67</f>
        <v>INV-2026-062</v>
      </c>
      <c r="E69" s="81" t="str">
        <f>PR!E67</f>
        <v>Erin Thomas</v>
      </c>
      <c r="F69" s="82">
        <f>PR!F67</f>
        <v>46303</v>
      </c>
      <c r="G69" s="81">
        <f>PR!G67</f>
        <v>550</v>
      </c>
      <c r="H69" s="81" t="str">
        <f>PR!H67</f>
        <v>Consulting services</v>
      </c>
      <c r="I69" s="81" t="str">
        <f>PR!I67</f>
        <v>PAY-7062</v>
      </c>
      <c r="J69" s="81">
        <f>PR!J67</f>
        <v>0</v>
      </c>
      <c r="K69" s="82">
        <f>PR!K67</f>
        <v>46307</v>
      </c>
      <c r="L69" s="81">
        <f>PR!L67</f>
        <v>275</v>
      </c>
      <c r="M69" s="81">
        <f>PR!M67</f>
        <v>275</v>
      </c>
      <c r="N69" s="81">
        <f ca="1">PR!N67</f>
        <v>275</v>
      </c>
      <c r="O69" s="93" t="str">
        <f>IF(Table6[[#This Row],[Outstanding Amount]]="Paid All","P",IF(Table6[[#This Row],[Outstanding Amount]]&lt;0,"U","D"))</f>
        <v>D</v>
      </c>
      <c r="P69" s="90" t="str">
        <f>IF(Table6[[#This Row],[Status Code]]="D","DUE",IF(Table6[[#This Row],[Status Code]]="U","UNPAID","PAID"))</f>
        <v>DUE</v>
      </c>
      <c r="Q69" s="97" t="str">
        <f>IF(Table6[[#This Row],[Status ]]="UNPAID",Table6[[#This Row],[Outstanding Amount]],"")</f>
        <v/>
      </c>
    </row>
    <row r="70" spans="3:17" x14ac:dyDescent="0.3">
      <c r="C70" s="81">
        <f t="shared" si="0"/>
        <v>63</v>
      </c>
      <c r="D70" s="81" t="str">
        <f>PR!D68</f>
        <v>INV-2026-063</v>
      </c>
      <c r="E70" s="81" t="str">
        <f>PR!E68</f>
        <v>Caleb Jackson</v>
      </c>
      <c r="F70" s="82">
        <f>PR!F68</f>
        <v>46306</v>
      </c>
      <c r="G70" s="81">
        <f>PR!G68</f>
        <v>2780.75</v>
      </c>
      <c r="H70" s="81" t="str">
        <f>PR!H68</f>
        <v>Equipment purchase</v>
      </c>
      <c r="I70" s="81" t="str">
        <f>PR!I68</f>
        <v>PAY-7063</v>
      </c>
      <c r="J70" s="81">
        <f>PR!J68</f>
        <v>0</v>
      </c>
      <c r="K70" s="82">
        <f>PR!K68</f>
        <v>46308</v>
      </c>
      <c r="L70" s="81">
        <f>PR!L68</f>
        <v>1390.375</v>
      </c>
      <c r="M70" s="81">
        <f>PR!M68</f>
        <v>1390.375</v>
      </c>
      <c r="N70" s="81">
        <f ca="1">PR!N68</f>
        <v>1390.375</v>
      </c>
      <c r="O70" s="93" t="str">
        <f>IF(Table6[[#This Row],[Outstanding Amount]]="Paid All","P",IF(Table6[[#This Row],[Outstanding Amount]]&lt;0,"U","D"))</f>
        <v>D</v>
      </c>
      <c r="P70" s="90" t="str">
        <f>IF(Table6[[#This Row],[Status Code]]="D","DUE",IF(Table6[[#This Row],[Status Code]]="U","UNPAID","PAID"))</f>
        <v>DUE</v>
      </c>
      <c r="Q70" s="97" t="str">
        <f>IF(Table6[[#This Row],[Status ]]="UNPAID",Table6[[#This Row],[Outstanding Amount]],"")</f>
        <v/>
      </c>
    </row>
    <row r="71" spans="3:17" x14ac:dyDescent="0.3">
      <c r="C71" s="83">
        <f t="shared" si="0"/>
        <v>64</v>
      </c>
      <c r="D71" s="83" t="str">
        <f>PR!D69</f>
        <v>INV-2026-064</v>
      </c>
      <c r="E71" s="81" t="str">
        <f>PR!E69</f>
        <v>Georgia White</v>
      </c>
      <c r="F71" s="82">
        <f>PR!F69</f>
        <v>46309</v>
      </c>
      <c r="G71" s="81">
        <f>PR!G69</f>
        <v>810</v>
      </c>
      <c r="H71" s="81" t="str">
        <f>PR!H69</f>
        <v>Monthly subscription</v>
      </c>
      <c r="I71" s="81" t="str">
        <f>PR!I69</f>
        <v>PAY-7064</v>
      </c>
      <c r="J71" s="81">
        <f>PR!J69</f>
        <v>0</v>
      </c>
      <c r="K71" s="82">
        <f>PR!K69</f>
        <v>46311</v>
      </c>
      <c r="L71" s="81">
        <f>PR!L69</f>
        <v>405</v>
      </c>
      <c r="M71" s="81">
        <f>PR!M69</f>
        <v>405</v>
      </c>
      <c r="N71" s="81">
        <f ca="1">PR!N69</f>
        <v>405</v>
      </c>
      <c r="O71" s="93" t="str">
        <f>IF(Table6[[#This Row],[Outstanding Amount]]="Paid All","P",IF(Table6[[#This Row],[Outstanding Amount]]&lt;0,"U","D"))</f>
        <v>D</v>
      </c>
      <c r="P71" s="90" t="str">
        <f>IF(Table6[[#This Row],[Status Code]]="D","DUE",IF(Table6[[#This Row],[Status Code]]="U","UNPAID","PAID"))</f>
        <v>DUE</v>
      </c>
      <c r="Q71" s="97" t="str">
        <f>IF(Table6[[#This Row],[Status ]]="UNPAID",Table6[[#This Row],[Outstanding Amount]],"")</f>
        <v/>
      </c>
    </row>
    <row r="72" spans="3:17" x14ac:dyDescent="0.3">
      <c r="C72" s="81">
        <f t="shared" si="0"/>
        <v>65</v>
      </c>
      <c r="D72" s="81" t="str">
        <f>PR!D70</f>
        <v>INV-2026-065</v>
      </c>
      <c r="E72" s="81" t="str">
        <f>PR!E70</f>
        <v>Aaron Harris</v>
      </c>
      <c r="F72" s="82">
        <f>PR!F70</f>
        <v>46311</v>
      </c>
      <c r="G72" s="81">
        <f>PR!G70</f>
        <v>1465.25</v>
      </c>
      <c r="H72" s="81" t="str">
        <f>PR!H70</f>
        <v>Project delivery</v>
      </c>
      <c r="I72" s="81" t="str">
        <f>PR!I70</f>
        <v>PAY-7065</v>
      </c>
      <c r="J72" s="81">
        <f>PR!J70</f>
        <v>0</v>
      </c>
      <c r="K72" s="82">
        <f>PR!K70</f>
        <v>46315</v>
      </c>
      <c r="L72" s="81">
        <f>PR!L70</f>
        <v>732.625</v>
      </c>
      <c r="M72" s="81">
        <f>PR!M70</f>
        <v>732.625</v>
      </c>
      <c r="N72" s="81">
        <f ca="1">PR!N70</f>
        <v>732.625</v>
      </c>
      <c r="O72" s="93" t="str">
        <f>IF(Table6[[#This Row],[Outstanding Amount]]="Paid All","P",IF(Table6[[#This Row],[Outstanding Amount]]&lt;0,"U","D"))</f>
        <v>D</v>
      </c>
      <c r="P72" s="90" t="str">
        <f>IF(Table6[[#This Row],[Status Code]]="D","DUE",IF(Table6[[#This Row],[Status Code]]="U","UNPAID","PAID"))</f>
        <v>DUE</v>
      </c>
      <c r="Q72" s="97" t="str">
        <f>IF(Table6[[#This Row],[Status ]]="UNPAID",Table6[[#This Row],[Outstanding Amount]],"")</f>
        <v/>
      </c>
    </row>
    <row r="73" spans="3:17" x14ac:dyDescent="0.3">
      <c r="C73" s="83">
        <f t="shared" ref="C73:C112" si="1">C72+1</f>
        <v>66</v>
      </c>
      <c r="D73" s="83" t="str">
        <f>PR!D71</f>
        <v>INV-2026-066</v>
      </c>
      <c r="E73" s="81" t="str">
        <f>PR!E71</f>
        <v>Holly Martin</v>
      </c>
      <c r="F73" s="82">
        <f>PR!F71</f>
        <v>46251</v>
      </c>
      <c r="G73" s="81">
        <f>PR!G71</f>
        <v>430</v>
      </c>
      <c r="H73" s="81" t="str">
        <f>PR!H71</f>
        <v>Marketing services</v>
      </c>
      <c r="I73" s="81" t="str">
        <f>PR!I71</f>
        <v>PAY-7066</v>
      </c>
      <c r="J73" s="81">
        <f>PR!J71</f>
        <v>0</v>
      </c>
      <c r="K73" s="82">
        <f>PR!K71</f>
        <v>46253</v>
      </c>
      <c r="L73" s="81">
        <f>PR!L71</f>
        <v>215</v>
      </c>
      <c r="M73" s="81">
        <f>PR!M71</f>
        <v>215</v>
      </c>
      <c r="N73" s="81">
        <f ca="1">PR!N71</f>
        <v>251.55</v>
      </c>
      <c r="O73" s="93" t="str">
        <f>IF(Table6[[#This Row],[Outstanding Amount]]="Paid All","P",IF(Table6[[#This Row],[Outstanding Amount]]&lt;0,"U","D"))</f>
        <v>D</v>
      </c>
      <c r="P73" s="90" t="str">
        <f>IF(Table6[[#This Row],[Status Code]]="D","DUE",IF(Table6[[#This Row],[Status Code]]="U","UNPAID","PAID"))</f>
        <v>DUE</v>
      </c>
      <c r="Q73" s="97" t="str">
        <f>IF(Table6[[#This Row],[Status ]]="UNPAID",Table6[[#This Row],[Outstanding Amount]],"")</f>
        <v/>
      </c>
    </row>
    <row r="74" spans="3:17" x14ac:dyDescent="0.3">
      <c r="C74" s="81">
        <f t="shared" si="1"/>
        <v>67</v>
      </c>
      <c r="D74" s="81" t="str">
        <f>PR!D72</f>
        <v>INV-2026-067</v>
      </c>
      <c r="E74" s="81" t="str">
        <f>PR!E72</f>
        <v>Connor Moore</v>
      </c>
      <c r="F74" s="82">
        <f>PR!F72</f>
        <v>46255</v>
      </c>
      <c r="G74" s="81">
        <f>PR!G72</f>
        <v>1020.5</v>
      </c>
      <c r="H74" s="81" t="str">
        <f>PR!H72</f>
        <v>Maintenance services</v>
      </c>
      <c r="I74" s="81" t="str">
        <f>PR!I72</f>
        <v>PAY-7067</v>
      </c>
      <c r="J74" s="81">
        <f>PR!J72</f>
        <v>0</v>
      </c>
      <c r="K74" s="82">
        <f>PR!K72</f>
        <v>46259</v>
      </c>
      <c r="L74" s="81">
        <f>PR!L72</f>
        <v>510.25</v>
      </c>
      <c r="M74" s="81">
        <f>PR!M72</f>
        <v>510.25</v>
      </c>
      <c r="N74" s="81">
        <f ca="1">PR!N72</f>
        <v>596.99250000000006</v>
      </c>
      <c r="O74" s="93" t="str">
        <f>IF(Table6[[#This Row],[Outstanding Amount]]="Paid All","P",IF(Table6[[#This Row],[Outstanding Amount]]&lt;0,"U","D"))</f>
        <v>D</v>
      </c>
      <c r="P74" s="90" t="str">
        <f>IF(Table6[[#This Row],[Status Code]]="D","DUE",IF(Table6[[#This Row],[Status Code]]="U","UNPAID","PAID"))</f>
        <v>DUE</v>
      </c>
      <c r="Q74" s="97" t="str">
        <f>IF(Table6[[#This Row],[Status ]]="UNPAID",Table6[[#This Row],[Outstanding Amount]],"")</f>
        <v/>
      </c>
    </row>
    <row r="75" spans="3:17" x14ac:dyDescent="0.3">
      <c r="C75" s="83">
        <f t="shared" si="1"/>
        <v>68</v>
      </c>
      <c r="D75" s="83" t="str">
        <f>PR!D73</f>
        <v>INV-2026-068</v>
      </c>
      <c r="E75" s="81" t="str">
        <f>PR!E73</f>
        <v>Megan Taylor</v>
      </c>
      <c r="F75" s="82">
        <f>PR!F73</f>
        <v>46260</v>
      </c>
      <c r="G75" s="81">
        <f>PR!G73</f>
        <v>1735</v>
      </c>
      <c r="H75" s="81" t="str">
        <f>PR!H73</f>
        <v>Software licence</v>
      </c>
      <c r="I75" s="81" t="str">
        <f>PR!I73</f>
        <v>PAY-7068</v>
      </c>
      <c r="J75" s="81">
        <f>PR!J73</f>
        <v>0</v>
      </c>
      <c r="K75" s="82">
        <f>PR!K73</f>
        <v>46262</v>
      </c>
      <c r="L75" s="81">
        <f>PR!L73</f>
        <v>867.5</v>
      </c>
      <c r="M75" s="81">
        <f>PR!M73</f>
        <v>867.5</v>
      </c>
      <c r="N75" s="81">
        <f ca="1">PR!N73</f>
        <v>988.95</v>
      </c>
      <c r="O75" s="93" t="str">
        <f>IF(Table6[[#This Row],[Outstanding Amount]]="Paid All","P",IF(Table6[[#This Row],[Outstanding Amount]]&lt;0,"U","D"))</f>
        <v>D</v>
      </c>
      <c r="P75" s="90" t="str">
        <f>IF(Table6[[#This Row],[Status Code]]="D","DUE",IF(Table6[[#This Row],[Status Code]]="U","UNPAID","PAID"))</f>
        <v>DUE</v>
      </c>
      <c r="Q75" s="97" t="str">
        <f>IF(Table6[[#This Row],[Status ]]="UNPAID",Table6[[#This Row],[Outstanding Amount]],"")</f>
        <v/>
      </c>
    </row>
    <row r="76" spans="3:17" x14ac:dyDescent="0.3">
      <c r="C76" s="81">
        <f t="shared" si="1"/>
        <v>69</v>
      </c>
      <c r="D76" s="81" t="str">
        <f>PR!D74</f>
        <v>INV-2026-069</v>
      </c>
      <c r="E76" s="81" t="str">
        <f>PR!E74</f>
        <v>Reuben Anderson</v>
      </c>
      <c r="F76" s="82">
        <f>PR!F74</f>
        <v>46265</v>
      </c>
      <c r="G76" s="81">
        <f>PR!G74</f>
        <v>290.75</v>
      </c>
      <c r="H76" s="81" t="str">
        <f>PR!H74</f>
        <v>Stationery order</v>
      </c>
      <c r="I76" s="81" t="str">
        <f>PR!I74</f>
        <v>PAY-7069</v>
      </c>
      <c r="J76" s="81">
        <f>PR!J74</f>
        <v>0</v>
      </c>
      <c r="K76" s="82">
        <f>PR!K74</f>
        <v>46267</v>
      </c>
      <c r="L76" s="81">
        <f>PR!L74</f>
        <v>145.375</v>
      </c>
      <c r="M76" s="81">
        <f>PR!M74</f>
        <v>145.375</v>
      </c>
      <c r="N76" s="81">
        <f ca="1">PR!N74</f>
        <v>161.36625000000001</v>
      </c>
      <c r="O76" s="93" t="str">
        <f>IF(Table6[[#This Row],[Outstanding Amount]]="Paid All","P",IF(Table6[[#This Row],[Outstanding Amount]]&lt;0,"U","D"))</f>
        <v>D</v>
      </c>
      <c r="P76" s="90" t="str">
        <f>IF(Table6[[#This Row],[Status Code]]="D","DUE",IF(Table6[[#This Row],[Status Code]]="U","UNPAID","PAID"))</f>
        <v>DUE</v>
      </c>
      <c r="Q76" s="97" t="str">
        <f>IF(Table6[[#This Row],[Status ]]="UNPAID",Table6[[#This Row],[Outstanding Amount]],"")</f>
        <v/>
      </c>
    </row>
    <row r="77" spans="3:17" x14ac:dyDescent="0.3">
      <c r="C77" s="83">
        <f t="shared" si="1"/>
        <v>70</v>
      </c>
      <c r="D77" s="83" t="str">
        <f>PR!D75</f>
        <v>INV-2026-070</v>
      </c>
      <c r="E77" s="81" t="str">
        <f>PR!E75</f>
        <v>Imogen Thomas</v>
      </c>
      <c r="F77" s="82">
        <f>PR!F75</f>
        <v>46266</v>
      </c>
      <c r="G77" s="81">
        <f>PR!G75</f>
        <v>1190</v>
      </c>
      <c r="H77" s="81" t="str">
        <f>PR!H75</f>
        <v>Training services</v>
      </c>
      <c r="I77" s="81" t="str">
        <f>PR!I75</f>
        <v>PAY-7070</v>
      </c>
      <c r="J77" s="81">
        <f>PR!J75</f>
        <v>0</v>
      </c>
      <c r="K77" s="82">
        <f>PR!K75</f>
        <v>46268</v>
      </c>
      <c r="L77" s="81">
        <f>PR!L75</f>
        <v>595</v>
      </c>
      <c r="M77" s="81">
        <f>PR!M75</f>
        <v>595</v>
      </c>
      <c r="N77" s="81">
        <f ca="1">PR!N75</f>
        <v>642.6</v>
      </c>
      <c r="O77" s="93" t="str">
        <f>IF(Table6[[#This Row],[Outstanding Amount]]="Paid All","P",IF(Table6[[#This Row],[Outstanding Amount]]&lt;0,"U","D"))</f>
        <v>D</v>
      </c>
      <c r="P77" s="90" t="str">
        <f>IF(Table6[[#This Row],[Status Code]]="D","DUE",IF(Table6[[#This Row],[Status Code]]="U","UNPAID","PAID"))</f>
        <v>DUE</v>
      </c>
      <c r="Q77" s="97" t="str">
        <f>IF(Table6[[#This Row],[Status ]]="UNPAID",Table6[[#This Row],[Outstanding Amount]],"")</f>
        <v/>
      </c>
    </row>
    <row r="78" spans="3:17" x14ac:dyDescent="0.3">
      <c r="C78" s="81">
        <f t="shared" si="1"/>
        <v>71</v>
      </c>
      <c r="D78" s="81" t="str">
        <f>PR!D76</f>
        <v>INV-2026-071</v>
      </c>
      <c r="E78" s="81" t="str">
        <f>PR!E76</f>
        <v>David Jackson</v>
      </c>
      <c r="F78" s="82">
        <f>PR!F76</f>
        <v>46271</v>
      </c>
      <c r="G78" s="81">
        <f>PR!G76</f>
        <v>745.5</v>
      </c>
      <c r="H78" s="81" t="str">
        <f>PR!H76</f>
        <v>Office supplies</v>
      </c>
      <c r="I78" s="81" t="str">
        <f>PR!I76</f>
        <v>PAY-7071</v>
      </c>
      <c r="J78" s="81">
        <f>PR!J76</f>
        <v>0</v>
      </c>
      <c r="K78" s="82">
        <f>PR!K76</f>
        <v>46273</v>
      </c>
      <c r="L78" s="81">
        <f>PR!L76</f>
        <v>372.75</v>
      </c>
      <c r="M78" s="81">
        <f>PR!M76</f>
        <v>372.75</v>
      </c>
      <c r="N78" s="81">
        <f ca="1">PR!N76</f>
        <v>391.38749999999999</v>
      </c>
      <c r="O78" s="93" t="str">
        <f>IF(Table6[[#This Row],[Outstanding Amount]]="Paid All","P",IF(Table6[[#This Row],[Outstanding Amount]]&lt;0,"U","D"))</f>
        <v>D</v>
      </c>
      <c r="P78" s="90" t="str">
        <f>IF(Table6[[#This Row],[Status Code]]="D","DUE",IF(Table6[[#This Row],[Status Code]]="U","UNPAID","PAID"))</f>
        <v>DUE</v>
      </c>
      <c r="Q78" s="97" t="str">
        <f>IF(Table6[[#This Row],[Status ]]="UNPAID",Table6[[#This Row],[Outstanding Amount]],"")</f>
        <v/>
      </c>
    </row>
    <row r="79" spans="3:17" x14ac:dyDescent="0.3">
      <c r="C79" s="83">
        <f t="shared" si="1"/>
        <v>72</v>
      </c>
      <c r="D79" s="83" t="str">
        <f>PR!D77</f>
        <v>INV-2026-072</v>
      </c>
      <c r="E79" s="81" t="str">
        <f>PR!E77</f>
        <v>Arabella White</v>
      </c>
      <c r="F79" s="82">
        <f>PR!F77</f>
        <v>46275</v>
      </c>
      <c r="G79" s="81">
        <f>PR!G77</f>
        <v>2280</v>
      </c>
      <c r="H79" s="81" t="str">
        <f>PR!H77</f>
        <v>Consulting services</v>
      </c>
      <c r="I79" s="81" t="str">
        <f>PR!I77</f>
        <v>PAY-7072</v>
      </c>
      <c r="J79" s="81">
        <f>PR!J77</f>
        <v>0</v>
      </c>
      <c r="K79" s="82">
        <f>PR!K77</f>
        <v>46279</v>
      </c>
      <c r="L79" s="81">
        <f>PR!L77</f>
        <v>1140</v>
      </c>
      <c r="M79" s="81">
        <f>PR!M77</f>
        <v>1140</v>
      </c>
      <c r="N79" s="81">
        <f ca="1">PR!N77</f>
        <v>1197</v>
      </c>
      <c r="O79" s="93" t="str">
        <f>IF(Table6[[#This Row],[Outstanding Amount]]="Paid All","P",IF(Table6[[#This Row],[Outstanding Amount]]&lt;0,"U","D"))</f>
        <v>D</v>
      </c>
      <c r="P79" s="90" t="str">
        <f>IF(Table6[[#This Row],[Status Code]]="D","DUE",IF(Table6[[#This Row],[Status Code]]="U","UNPAID","PAID"))</f>
        <v>DUE</v>
      </c>
      <c r="Q79" s="97" t="str">
        <f>IF(Table6[[#This Row],[Status ]]="UNPAID",Table6[[#This Row],[Outstanding Amount]],"")</f>
        <v/>
      </c>
    </row>
    <row r="80" spans="3:17" x14ac:dyDescent="0.3">
      <c r="C80" s="81">
        <f t="shared" si="1"/>
        <v>73</v>
      </c>
      <c r="D80" s="81" t="str">
        <f>PR!D78</f>
        <v>INV-2026-073</v>
      </c>
      <c r="E80" s="81" t="str">
        <f>PR!E78</f>
        <v>Michael Harris</v>
      </c>
      <c r="F80" s="82">
        <f>PR!F78</f>
        <v>46279</v>
      </c>
      <c r="G80" s="81">
        <f>PR!G78</f>
        <v>615.25</v>
      </c>
      <c r="H80" s="81" t="str">
        <f>PR!H78</f>
        <v>Equipment purchase</v>
      </c>
      <c r="I80" s="81" t="str">
        <f>PR!I78</f>
        <v>PAY-7073</v>
      </c>
      <c r="J80" s="81">
        <f>PR!J78</f>
        <v>0</v>
      </c>
      <c r="K80" s="82">
        <f>PR!K78</f>
        <v>46281</v>
      </c>
      <c r="L80" s="81">
        <f>PR!L78</f>
        <v>307.625</v>
      </c>
      <c r="M80" s="81">
        <f>PR!M78</f>
        <v>307.625</v>
      </c>
      <c r="N80" s="81">
        <f ca="1">PR!N78</f>
        <v>313.77749999999997</v>
      </c>
      <c r="O80" s="93" t="str">
        <f>IF(Table6[[#This Row],[Outstanding Amount]]="Paid All","P",IF(Table6[[#This Row],[Outstanding Amount]]&lt;0,"U","D"))</f>
        <v>D</v>
      </c>
      <c r="P80" s="90" t="str">
        <f>IF(Table6[[#This Row],[Status Code]]="D","DUE",IF(Table6[[#This Row],[Status Code]]="U","UNPAID","PAID"))</f>
        <v>DUE</v>
      </c>
      <c r="Q80" s="97" t="str">
        <f>IF(Table6[[#This Row],[Status ]]="UNPAID",Table6[[#This Row],[Outstanding Amount]],"")</f>
        <v/>
      </c>
    </row>
    <row r="81" spans="3:17" x14ac:dyDescent="0.3">
      <c r="C81" s="83">
        <f t="shared" si="1"/>
        <v>74</v>
      </c>
      <c r="D81" s="83" t="str">
        <f>PR!D79</f>
        <v>INV-2026-074</v>
      </c>
      <c r="E81" s="81" t="str">
        <f>PR!E79</f>
        <v>Eliza Martin</v>
      </c>
      <c r="F81" s="82">
        <f>PR!F79</f>
        <v>46283</v>
      </c>
      <c r="G81" s="81">
        <f>PR!G79</f>
        <v>1410</v>
      </c>
      <c r="H81" s="81" t="str">
        <f>PR!H79</f>
        <v>Monthly subscription</v>
      </c>
      <c r="I81" s="81" t="str">
        <f>PR!I79</f>
        <v>PAY-7074</v>
      </c>
      <c r="J81" s="81">
        <f>PR!J79</f>
        <v>1410</v>
      </c>
      <c r="K81" s="82">
        <f>PR!K79</f>
        <v>46287</v>
      </c>
      <c r="L81" s="81">
        <f>PR!L79</f>
        <v>1410</v>
      </c>
      <c r="M81" s="81" t="str">
        <f>PR!M79</f>
        <v>Paid All</v>
      </c>
      <c r="N81" s="81">
        <f ca="1">PR!N79</f>
        <v>1410</v>
      </c>
      <c r="O81" s="93" t="str">
        <f>IF(Table6[[#This Row],[Outstanding Amount]]="Paid All","P",IF(Table6[[#This Row],[Outstanding Amount]]&lt;0,"U","D"))</f>
        <v>P</v>
      </c>
      <c r="P81" s="90" t="str">
        <f>IF(Table6[[#This Row],[Status Code]]="D","DUE",IF(Table6[[#This Row],[Status Code]]="U","UNPAID","PAID"))</f>
        <v>PAID</v>
      </c>
      <c r="Q81" s="97" t="str">
        <f>IF(Table6[[#This Row],[Status ]]="UNPAID",Table6[[#This Row],[Outstanding Amount]],"")</f>
        <v/>
      </c>
    </row>
    <row r="82" spans="3:17" x14ac:dyDescent="0.3">
      <c r="C82" s="81">
        <f t="shared" si="1"/>
        <v>75</v>
      </c>
      <c r="D82" s="81" t="str">
        <f>PR!D80</f>
        <v>INV-2026-075</v>
      </c>
      <c r="E82" s="81" t="str">
        <f>PR!E80</f>
        <v>Christopher Moore</v>
      </c>
      <c r="F82" s="82">
        <f>PR!F80</f>
        <v>46287</v>
      </c>
      <c r="G82" s="81">
        <f>PR!G80</f>
        <v>520.5</v>
      </c>
      <c r="H82" s="81" t="str">
        <f>PR!H80</f>
        <v>Project delivery</v>
      </c>
      <c r="I82" s="81" t="str">
        <f>PR!I80</f>
        <v>PAY-7075</v>
      </c>
      <c r="J82" s="81">
        <f>PR!J80</f>
        <v>0</v>
      </c>
      <c r="K82" s="82">
        <f>PR!K80</f>
        <v>46289</v>
      </c>
      <c r="L82" s="81">
        <f>PR!L80</f>
        <v>260.25</v>
      </c>
      <c r="M82" s="81">
        <f>PR!M80</f>
        <v>260.25</v>
      </c>
      <c r="N82" s="81">
        <f ca="1">PR!N80</f>
        <v>260.25</v>
      </c>
      <c r="O82" s="93" t="str">
        <f>IF(Table6[[#This Row],[Outstanding Amount]]="Paid All","P",IF(Table6[[#This Row],[Outstanding Amount]]&lt;0,"U","D"))</f>
        <v>D</v>
      </c>
      <c r="P82" s="90" t="str">
        <f>IF(Table6[[#This Row],[Status Code]]="D","DUE",IF(Table6[[#This Row],[Status Code]]="U","UNPAID","PAID"))</f>
        <v>DUE</v>
      </c>
      <c r="Q82" s="97" t="str">
        <f>IF(Table6[[#This Row],[Status ]]="UNPAID",Table6[[#This Row],[Outstanding Amount]],"")</f>
        <v/>
      </c>
    </row>
    <row r="83" spans="3:17" x14ac:dyDescent="0.3">
      <c r="C83" s="83">
        <f t="shared" si="1"/>
        <v>76</v>
      </c>
      <c r="D83" s="83" t="str">
        <f>PR!D81</f>
        <v>INV-2026-076</v>
      </c>
      <c r="E83" s="81" t="str">
        <f>PR!E81</f>
        <v>Clara Taylor</v>
      </c>
      <c r="F83" s="82">
        <f>PR!F81</f>
        <v>46291</v>
      </c>
      <c r="G83" s="81">
        <f>PR!G81</f>
        <v>1860.75</v>
      </c>
      <c r="H83" s="81" t="str">
        <f>PR!H81</f>
        <v>Marketing services</v>
      </c>
      <c r="I83" s="81" t="str">
        <f>PR!I81</f>
        <v>PAY-7076</v>
      </c>
      <c r="J83" s="81">
        <f>PR!J81</f>
        <v>0</v>
      </c>
      <c r="K83" s="82">
        <f>PR!K81</f>
        <v>46294</v>
      </c>
      <c r="L83" s="81">
        <f>PR!L81</f>
        <v>930.375</v>
      </c>
      <c r="M83" s="81">
        <f>PR!M81</f>
        <v>930.375</v>
      </c>
      <c r="N83" s="81">
        <f ca="1">PR!N81</f>
        <v>930.375</v>
      </c>
      <c r="O83" s="93" t="str">
        <f>IF(Table6[[#This Row],[Outstanding Amount]]="Paid All","P",IF(Table6[[#This Row],[Outstanding Amount]]&lt;0,"U","D"))</f>
        <v>D</v>
      </c>
      <c r="P83" s="90" t="str">
        <f>IF(Table6[[#This Row],[Status Code]]="D","DUE",IF(Table6[[#This Row],[Status Code]]="U","UNPAID","PAID"))</f>
        <v>DUE</v>
      </c>
      <c r="Q83" s="97" t="str">
        <f>IF(Table6[[#This Row],[Status ]]="UNPAID",Table6[[#This Row],[Outstanding Amount]],"")</f>
        <v/>
      </c>
    </row>
    <row r="84" spans="3:17" x14ac:dyDescent="0.3">
      <c r="C84" s="81">
        <f t="shared" si="1"/>
        <v>77</v>
      </c>
      <c r="D84" s="81" t="str">
        <f>PR!D82</f>
        <v>INV-2026-077</v>
      </c>
      <c r="E84" s="81" t="str">
        <f>PR!E82</f>
        <v>Jonathan Anderson</v>
      </c>
      <c r="F84" s="82">
        <f>PR!F82</f>
        <v>46295</v>
      </c>
      <c r="G84" s="81">
        <f>PR!G82</f>
        <v>365</v>
      </c>
      <c r="H84" s="81" t="str">
        <f>PR!H82</f>
        <v>Maintenance services</v>
      </c>
      <c r="I84" s="81" t="str">
        <f>PR!I82</f>
        <v>PAY-7077</v>
      </c>
      <c r="J84" s="81">
        <f>PR!J82</f>
        <v>0</v>
      </c>
      <c r="K84" s="82">
        <f>PR!K82</f>
        <v>46297</v>
      </c>
      <c r="L84" s="81">
        <f>PR!L82</f>
        <v>182.5</v>
      </c>
      <c r="M84" s="81">
        <f>PR!M82</f>
        <v>182.5</v>
      </c>
      <c r="N84" s="81">
        <f ca="1">PR!N82</f>
        <v>182.5</v>
      </c>
      <c r="O84" s="93" t="str">
        <f>IF(Table6[[#This Row],[Outstanding Amount]]="Paid All","P",IF(Table6[[#This Row],[Outstanding Amount]]&lt;0,"U","D"))</f>
        <v>D</v>
      </c>
      <c r="P84" s="90" t="str">
        <f>IF(Table6[[#This Row],[Status Code]]="D","DUE",IF(Table6[[#This Row],[Status Code]]="U","UNPAID","PAID"))</f>
        <v>DUE</v>
      </c>
      <c r="Q84" s="97" t="str">
        <f>IF(Table6[[#This Row],[Status ]]="UNPAID",Table6[[#This Row],[Outstanding Amount]],"")</f>
        <v/>
      </c>
    </row>
    <row r="85" spans="3:17" x14ac:dyDescent="0.3">
      <c r="C85" s="83">
        <f t="shared" si="1"/>
        <v>78</v>
      </c>
      <c r="D85" s="83" t="str">
        <f>PR!D83</f>
        <v>INV-2026-078</v>
      </c>
      <c r="E85" s="81" t="str">
        <f>PR!E83</f>
        <v>Amber Thomas</v>
      </c>
      <c r="F85" s="82">
        <f>PR!F83</f>
        <v>46298</v>
      </c>
      <c r="G85" s="81">
        <f>PR!G83</f>
        <v>1095.25</v>
      </c>
      <c r="H85" s="81" t="str">
        <f>PR!H83</f>
        <v>Software licence</v>
      </c>
      <c r="I85" s="81" t="str">
        <f>PR!I83</f>
        <v>PAY-7078</v>
      </c>
      <c r="J85" s="81">
        <f>PR!J83</f>
        <v>0</v>
      </c>
      <c r="K85" s="82">
        <f>PR!K83</f>
        <v>46301</v>
      </c>
      <c r="L85" s="81">
        <f>PR!L83</f>
        <v>547.625</v>
      </c>
      <c r="M85" s="81">
        <f>PR!M83</f>
        <v>547.625</v>
      </c>
      <c r="N85" s="81">
        <f ca="1">PR!N83</f>
        <v>547.625</v>
      </c>
      <c r="O85" s="93" t="str">
        <f>IF(Table6[[#This Row],[Outstanding Amount]]="Paid All","P",IF(Table6[[#This Row],[Outstanding Amount]]&lt;0,"U","D"))</f>
        <v>D</v>
      </c>
      <c r="P85" s="90" t="str">
        <f>IF(Table6[[#This Row],[Status Code]]="D","DUE",IF(Table6[[#This Row],[Status Code]]="U","UNPAID","PAID"))</f>
        <v>DUE</v>
      </c>
      <c r="Q85" s="97" t="str">
        <f>IF(Table6[[#This Row],[Status ]]="UNPAID",Table6[[#This Row],[Outstanding Amount]],"")</f>
        <v/>
      </c>
    </row>
    <row r="86" spans="3:17" x14ac:dyDescent="0.3">
      <c r="C86" s="81">
        <f t="shared" si="1"/>
        <v>79</v>
      </c>
      <c r="D86" s="81" t="str">
        <f>PR!D84</f>
        <v>INV-2026-079</v>
      </c>
      <c r="E86" s="81" t="str">
        <f>PR!E84</f>
        <v>Robert Jackson</v>
      </c>
      <c r="F86" s="82">
        <f>PR!F84</f>
        <v>46301</v>
      </c>
      <c r="G86" s="81">
        <f>PR!G84</f>
        <v>2525</v>
      </c>
      <c r="H86" s="81" t="str">
        <f>PR!H84</f>
        <v>Stationery order</v>
      </c>
      <c r="I86" s="81" t="str">
        <f>PR!I84</f>
        <v>PAY-7079</v>
      </c>
      <c r="J86" s="81">
        <f>PR!J84</f>
        <v>0</v>
      </c>
      <c r="K86" s="82">
        <f>PR!K84</f>
        <v>46303</v>
      </c>
      <c r="L86" s="81">
        <f>PR!L84</f>
        <v>1262.5</v>
      </c>
      <c r="M86" s="81">
        <f>PR!M84</f>
        <v>1262.5</v>
      </c>
      <c r="N86" s="81">
        <f ca="1">PR!N84</f>
        <v>1262.5</v>
      </c>
      <c r="O86" s="93" t="str">
        <f>IF(Table6[[#This Row],[Outstanding Amount]]="Paid All","P",IF(Table6[[#This Row],[Outstanding Amount]]&lt;0,"U","D"))</f>
        <v>D</v>
      </c>
      <c r="P86" s="90" t="str">
        <f>IF(Table6[[#This Row],[Status Code]]="D","DUE",IF(Table6[[#This Row],[Status Code]]="U","UNPAID","PAID"))</f>
        <v>DUE</v>
      </c>
      <c r="Q86" s="97" t="str">
        <f>IF(Table6[[#This Row],[Status ]]="UNPAID",Table6[[#This Row],[Outstanding Amount]],"")</f>
        <v/>
      </c>
    </row>
    <row r="87" spans="3:17" x14ac:dyDescent="0.3">
      <c r="C87" s="83">
        <f t="shared" si="1"/>
        <v>80</v>
      </c>
      <c r="D87" s="83" t="str">
        <f>PR!D85</f>
        <v>INV-2026-080</v>
      </c>
      <c r="E87" s="81" t="str">
        <f>PR!E85</f>
        <v>Beatrice White</v>
      </c>
      <c r="F87" s="82">
        <f>PR!F85</f>
        <v>46304</v>
      </c>
      <c r="G87" s="81">
        <f>PR!G85</f>
        <v>680.5</v>
      </c>
      <c r="H87" s="81" t="str">
        <f>PR!H85</f>
        <v>Training services</v>
      </c>
      <c r="I87" s="81" t="str">
        <f>PR!I85</f>
        <v>PAY-7080</v>
      </c>
      <c r="J87" s="81">
        <f>PR!J85</f>
        <v>0</v>
      </c>
      <c r="K87" s="82">
        <f>PR!K85</f>
        <v>46308</v>
      </c>
      <c r="L87" s="81">
        <f>PR!L85</f>
        <v>340.25</v>
      </c>
      <c r="M87" s="81">
        <f>PR!M85</f>
        <v>340.25</v>
      </c>
      <c r="N87" s="81">
        <f ca="1">PR!N85</f>
        <v>340.25</v>
      </c>
      <c r="O87" s="93" t="str">
        <f>IF(Table6[[#This Row],[Outstanding Amount]]="Paid All","P",IF(Table6[[#This Row],[Outstanding Amount]]&lt;0,"U","D"))</f>
        <v>D</v>
      </c>
      <c r="P87" s="90" t="str">
        <f>IF(Table6[[#This Row],[Status Code]]="D","DUE",IF(Table6[[#This Row],[Status Code]]="U","UNPAID","PAID"))</f>
        <v>DUE</v>
      </c>
      <c r="Q87" s="97" t="str">
        <f>IF(Table6[[#This Row],[Status ]]="UNPAID",Table6[[#This Row],[Outstanding Amount]],"")</f>
        <v/>
      </c>
    </row>
    <row r="88" spans="3:17" x14ac:dyDescent="0.3">
      <c r="C88" s="81">
        <f t="shared" si="1"/>
        <v>81</v>
      </c>
      <c r="D88" s="81" t="str">
        <f>PR!D86</f>
        <v>INV-2026-081</v>
      </c>
      <c r="E88" s="81" t="str">
        <f>PR!E86</f>
        <v>Louis Harris</v>
      </c>
      <c r="F88" s="82">
        <f>PR!F86</f>
        <v>46307</v>
      </c>
      <c r="G88" s="81">
        <f>PR!G86</f>
        <v>1155</v>
      </c>
      <c r="H88" s="81" t="str">
        <f>PR!H86</f>
        <v>Office supplies</v>
      </c>
      <c r="I88" s="81" t="str">
        <f>PR!I86</f>
        <v>PAY-7081</v>
      </c>
      <c r="J88" s="81">
        <f>PR!J86</f>
        <v>0</v>
      </c>
      <c r="K88" s="82">
        <f>PR!K86</f>
        <v>46309</v>
      </c>
      <c r="L88" s="81">
        <f>PR!L86</f>
        <v>577.5</v>
      </c>
      <c r="M88" s="81">
        <f>PR!M86</f>
        <v>577.5</v>
      </c>
      <c r="N88" s="81">
        <f ca="1">PR!N86</f>
        <v>577.5</v>
      </c>
      <c r="O88" s="93" t="str">
        <f>IF(Table6[[#This Row],[Outstanding Amount]]="Paid All","P",IF(Table6[[#This Row],[Outstanding Amount]]&lt;0,"U","D"))</f>
        <v>D</v>
      </c>
      <c r="P88" s="90" t="str">
        <f>IF(Table6[[#This Row],[Status Code]]="D","DUE",IF(Table6[[#This Row],[Status Code]]="U","UNPAID","PAID"))</f>
        <v>DUE</v>
      </c>
      <c r="Q88" s="97" t="str">
        <f>IF(Table6[[#This Row],[Status ]]="UNPAID",Table6[[#This Row],[Outstanding Amount]],"")</f>
        <v/>
      </c>
    </row>
    <row r="89" spans="3:17" x14ac:dyDescent="0.3">
      <c r="C89" s="83">
        <f t="shared" si="1"/>
        <v>82</v>
      </c>
      <c r="D89" s="83" t="str">
        <f>PR!D87</f>
        <v>INV-2026-082</v>
      </c>
      <c r="E89" s="81" t="str">
        <f>PR!E87</f>
        <v>Orla Martin</v>
      </c>
      <c r="F89" s="82">
        <f>PR!F87</f>
        <v>46310</v>
      </c>
      <c r="G89" s="81">
        <f>PR!G87</f>
        <v>425.75</v>
      </c>
      <c r="H89" s="81" t="str">
        <f>PR!H87</f>
        <v>Consulting services</v>
      </c>
      <c r="I89" s="81" t="str">
        <f>PR!I87</f>
        <v>PAY-7082</v>
      </c>
      <c r="J89" s="81">
        <f>PR!J87</f>
        <v>0</v>
      </c>
      <c r="K89" s="82">
        <f>PR!K87</f>
        <v>46314</v>
      </c>
      <c r="L89" s="81">
        <f>PR!L87</f>
        <v>212.875</v>
      </c>
      <c r="M89" s="81">
        <f>PR!M87</f>
        <v>212.875</v>
      </c>
      <c r="N89" s="81">
        <f ca="1">PR!N87</f>
        <v>212.875</v>
      </c>
      <c r="O89" s="93" t="str">
        <f>IF(Table6[[#This Row],[Outstanding Amount]]="Paid All","P",IF(Table6[[#This Row],[Outstanding Amount]]&lt;0,"U","D"))</f>
        <v>D</v>
      </c>
      <c r="P89" s="90" t="str">
        <f>IF(Table6[[#This Row],[Status Code]]="D","DUE",IF(Table6[[#This Row],[Status Code]]="U","UNPAID","PAID"))</f>
        <v>DUE</v>
      </c>
      <c r="Q89" s="97" t="str">
        <f>IF(Table6[[#This Row],[Status ]]="UNPAID",Table6[[#This Row],[Outstanding Amount]],"")</f>
        <v/>
      </c>
    </row>
    <row r="90" spans="3:17" x14ac:dyDescent="0.3">
      <c r="C90" s="81">
        <f t="shared" si="1"/>
        <v>83</v>
      </c>
      <c r="D90" s="81" t="str">
        <f>PR!D88</f>
        <v>INV-2026-083</v>
      </c>
      <c r="E90" s="81" t="str">
        <f>PR!E88</f>
        <v>Edward Moore</v>
      </c>
      <c r="F90" s="82">
        <f>PR!F88</f>
        <v>46311</v>
      </c>
      <c r="G90" s="81">
        <f>PR!G88</f>
        <v>2690</v>
      </c>
      <c r="H90" s="81" t="str">
        <f>PR!H88</f>
        <v>Equipment purchase</v>
      </c>
      <c r="I90" s="81" t="str">
        <f>PR!I88</f>
        <v>PAY-7083</v>
      </c>
      <c r="J90" s="81">
        <f>PR!J88</f>
        <v>0</v>
      </c>
      <c r="K90" s="82">
        <f>PR!K88</f>
        <v>46315</v>
      </c>
      <c r="L90" s="81">
        <f>PR!L88</f>
        <v>1345</v>
      </c>
      <c r="M90" s="81">
        <f>PR!M88</f>
        <v>1345</v>
      </c>
      <c r="N90" s="81">
        <f ca="1">PR!N88</f>
        <v>1345</v>
      </c>
      <c r="O90" s="93" t="str">
        <f>IF(Table6[[#This Row],[Outstanding Amount]]="Paid All","P",IF(Table6[[#This Row],[Outstanding Amount]]&lt;0,"U","D"))</f>
        <v>D</v>
      </c>
      <c r="P90" s="90" t="str">
        <f>IF(Table6[[#This Row],[Status Code]]="D","DUE",IF(Table6[[#This Row],[Status Code]]="U","UNPAID","PAID"))</f>
        <v>DUE</v>
      </c>
      <c r="Q90" s="97" t="str">
        <f>IF(Table6[[#This Row],[Status ]]="UNPAID",Table6[[#This Row],[Outstanding Amount]],"")</f>
        <v/>
      </c>
    </row>
    <row r="91" spans="3:17" x14ac:dyDescent="0.3">
      <c r="C91" s="83">
        <f t="shared" si="1"/>
        <v>84</v>
      </c>
      <c r="D91" s="83" t="str">
        <f>PR!D89</f>
        <v>INV-2026-084</v>
      </c>
      <c r="E91" s="81" t="str">
        <f>PR!E89</f>
        <v>Nancy Taylor</v>
      </c>
      <c r="F91" s="82">
        <f>PR!F89</f>
        <v>46257</v>
      </c>
      <c r="G91" s="81">
        <f>PR!G89</f>
        <v>775.5</v>
      </c>
      <c r="H91" s="81" t="str">
        <f>PR!H89</f>
        <v>Monthly subscription</v>
      </c>
      <c r="I91" s="81" t="str">
        <f>PR!I89</f>
        <v>PAY-7084</v>
      </c>
      <c r="J91" s="81">
        <f>PR!J89</f>
        <v>0</v>
      </c>
      <c r="K91" s="82">
        <f>PR!K89</f>
        <v>46259</v>
      </c>
      <c r="L91" s="81">
        <f>PR!L89</f>
        <v>387.75</v>
      </c>
      <c r="M91" s="81">
        <f>PR!M89</f>
        <v>387.75</v>
      </c>
      <c r="N91" s="81">
        <f ca="1">PR!N89</f>
        <v>442.03500000000003</v>
      </c>
      <c r="O91" s="93" t="str">
        <f>IF(Table6[[#This Row],[Outstanding Amount]]="Paid All","P",IF(Table6[[#This Row],[Outstanding Amount]]&lt;0,"U","D"))</f>
        <v>D</v>
      </c>
      <c r="P91" s="90" t="str">
        <f>IF(Table6[[#This Row],[Status Code]]="D","DUE",IF(Table6[[#This Row],[Status Code]]="U","UNPAID","PAID"))</f>
        <v>DUE</v>
      </c>
      <c r="Q91" s="97" t="str">
        <f>IF(Table6[[#This Row],[Status ]]="UNPAID",Table6[[#This Row],[Outstanding Amount]],"")</f>
        <v/>
      </c>
    </row>
    <row r="92" spans="3:17" x14ac:dyDescent="0.3">
      <c r="C92" s="81">
        <f t="shared" si="1"/>
        <v>85</v>
      </c>
      <c r="D92" s="81" t="str">
        <f>PR!D90</f>
        <v>INV-2026-085</v>
      </c>
      <c r="E92" s="81" t="str">
        <f>PR!E90</f>
        <v>Gabriel Anderson</v>
      </c>
      <c r="F92" s="82">
        <f>PR!F90</f>
        <v>46261</v>
      </c>
      <c r="G92" s="81">
        <f>PR!G90</f>
        <v>1495</v>
      </c>
      <c r="H92" s="81" t="str">
        <f>PR!H90</f>
        <v>Project delivery</v>
      </c>
      <c r="I92" s="81" t="str">
        <f>PR!I90</f>
        <v>PAY-7085</v>
      </c>
      <c r="J92" s="81">
        <f>PR!J90</f>
        <v>0</v>
      </c>
      <c r="K92" s="82">
        <f>PR!K90</f>
        <v>46265</v>
      </c>
      <c r="L92" s="81">
        <f>PR!L90</f>
        <v>747.5</v>
      </c>
      <c r="M92" s="81">
        <f>PR!M90</f>
        <v>747.5</v>
      </c>
      <c r="N92" s="81">
        <f ca="1">PR!N90</f>
        <v>829.72500000000002</v>
      </c>
      <c r="O92" s="93" t="str">
        <f>IF(Table6[[#This Row],[Outstanding Amount]]="Paid All","P",IF(Table6[[#This Row],[Outstanding Amount]]&lt;0,"U","D"))</f>
        <v>D</v>
      </c>
      <c r="P92" s="90" t="str">
        <f>IF(Table6[[#This Row],[Status Code]]="D","DUE",IF(Table6[[#This Row],[Status Code]]="U","UNPAID","PAID"))</f>
        <v>DUE</v>
      </c>
      <c r="Q92" s="97" t="str">
        <f>IF(Table6[[#This Row],[Status ]]="UNPAID",Table6[[#This Row],[Outstanding Amount]],"")</f>
        <v/>
      </c>
    </row>
    <row r="93" spans="3:17" x14ac:dyDescent="0.3">
      <c r="C93" s="83">
        <f t="shared" si="1"/>
        <v>86</v>
      </c>
      <c r="D93" s="83" t="str">
        <f>PR!D91</f>
        <v>INV-2026-086</v>
      </c>
      <c r="E93" s="81" t="str">
        <f>PR!E91</f>
        <v>Martha Thomas</v>
      </c>
      <c r="F93" s="82">
        <f>PR!F91</f>
        <v>46266</v>
      </c>
      <c r="G93" s="81">
        <f>PR!G91</f>
        <v>585.25</v>
      </c>
      <c r="H93" s="81" t="str">
        <f>PR!H91</f>
        <v>Marketing services</v>
      </c>
      <c r="I93" s="81" t="str">
        <f>PR!I91</f>
        <v>PAY-7086</v>
      </c>
      <c r="J93" s="81">
        <f>PR!J91</f>
        <v>0</v>
      </c>
      <c r="K93" s="82">
        <f>PR!K91</f>
        <v>46268</v>
      </c>
      <c r="L93" s="81">
        <f>PR!L91</f>
        <v>292.625</v>
      </c>
      <c r="M93" s="81">
        <f>PR!M91</f>
        <v>292.625</v>
      </c>
      <c r="N93" s="81">
        <f ca="1">PR!N91</f>
        <v>316.03500000000003</v>
      </c>
      <c r="O93" s="93" t="str">
        <f>IF(Table6[[#This Row],[Outstanding Amount]]="Paid All","P",IF(Table6[[#This Row],[Outstanding Amount]]&lt;0,"U","D"))</f>
        <v>D</v>
      </c>
      <c r="P93" s="90" t="str">
        <f>IF(Table6[[#This Row],[Status Code]]="D","DUE",IF(Table6[[#This Row],[Status Code]]="U","UNPAID","PAID"))</f>
        <v>DUE</v>
      </c>
      <c r="Q93" s="97" t="str">
        <f>IF(Table6[[#This Row],[Status ]]="UNPAID",Table6[[#This Row],[Outstanding Amount]],"")</f>
        <v/>
      </c>
    </row>
    <row r="94" spans="3:17" x14ac:dyDescent="0.3">
      <c r="C94" s="81">
        <f t="shared" si="1"/>
        <v>87</v>
      </c>
      <c r="D94" s="81" t="str">
        <f>PR!D92</f>
        <v>INV-2026-087</v>
      </c>
      <c r="E94" s="81" t="str">
        <f>PR!E92</f>
        <v>Patrick Jackson</v>
      </c>
      <c r="F94" s="82">
        <f>PR!F92</f>
        <v>46270</v>
      </c>
      <c r="G94" s="81">
        <f>PR!G92</f>
        <v>965</v>
      </c>
      <c r="H94" s="81" t="str">
        <f>PR!H92</f>
        <v>Maintenance services</v>
      </c>
      <c r="I94" s="81" t="str">
        <f>PR!I92</f>
        <v>PAY-7087</v>
      </c>
      <c r="J94" s="81">
        <f>PR!J92</f>
        <v>0</v>
      </c>
      <c r="K94" s="82">
        <f>PR!K92</f>
        <v>46273</v>
      </c>
      <c r="L94" s="81">
        <f>PR!L92</f>
        <v>482.5</v>
      </c>
      <c r="M94" s="81">
        <f>PR!M92</f>
        <v>482.5</v>
      </c>
      <c r="N94" s="81">
        <f ca="1">PR!N92</f>
        <v>521.1</v>
      </c>
      <c r="O94" s="93" t="str">
        <f>IF(Table6[[#This Row],[Outstanding Amount]]="Paid All","P",IF(Table6[[#This Row],[Outstanding Amount]]&lt;0,"U","D"))</f>
        <v>D</v>
      </c>
      <c r="P94" s="90" t="str">
        <f>IF(Table6[[#This Row],[Status Code]]="D","DUE",IF(Table6[[#This Row],[Status Code]]="U","UNPAID","PAID"))</f>
        <v>DUE</v>
      </c>
      <c r="Q94" s="97" t="str">
        <f>IF(Table6[[#This Row],[Status ]]="UNPAID",Table6[[#This Row],[Outstanding Amount]],"")</f>
        <v/>
      </c>
    </row>
    <row r="95" spans="3:17" x14ac:dyDescent="0.3">
      <c r="C95" s="83">
        <f t="shared" si="1"/>
        <v>88</v>
      </c>
      <c r="D95" s="83" t="str">
        <f>PR!D93</f>
        <v>INV-2026-088</v>
      </c>
      <c r="E95" s="81" t="str">
        <f>PR!E93</f>
        <v>Rose White</v>
      </c>
      <c r="F95" s="82">
        <f>PR!F93</f>
        <v>46274</v>
      </c>
      <c r="G95" s="81">
        <f>PR!G93</f>
        <v>1820.5</v>
      </c>
      <c r="H95" s="81" t="str">
        <f>PR!H93</f>
        <v>Software licence</v>
      </c>
      <c r="I95" s="81" t="str">
        <f>PR!I93</f>
        <v>PAY-7088</v>
      </c>
      <c r="J95" s="81">
        <f>PR!J93</f>
        <v>0</v>
      </c>
      <c r="K95" s="82">
        <f>PR!K93</f>
        <v>46276</v>
      </c>
      <c r="L95" s="81">
        <f>PR!L93</f>
        <v>910.25</v>
      </c>
      <c r="M95" s="81">
        <f>PR!M93</f>
        <v>910.25</v>
      </c>
      <c r="N95" s="81">
        <f ca="1">PR!N93</f>
        <v>955.76250000000005</v>
      </c>
      <c r="O95" s="93" t="str">
        <f>IF(Table6[[#This Row],[Outstanding Amount]]="Paid All","P",IF(Table6[[#This Row],[Outstanding Amount]]&lt;0,"U","D"))</f>
        <v>D</v>
      </c>
      <c r="P95" s="90" t="str">
        <f>IF(Table6[[#This Row],[Status Code]]="D","DUE",IF(Table6[[#This Row],[Status Code]]="U","UNPAID","PAID"))</f>
        <v>DUE</v>
      </c>
      <c r="Q95" s="97" t="str">
        <f>IF(Table6[[#This Row],[Status ]]="UNPAID",Table6[[#This Row],[Outstanding Amount]],"")</f>
        <v/>
      </c>
    </row>
    <row r="96" spans="3:17" x14ac:dyDescent="0.3">
      <c r="C96" s="81">
        <f t="shared" si="1"/>
        <v>89</v>
      </c>
      <c r="D96" s="81" t="str">
        <f>PR!D94</f>
        <v>INV-2026-089</v>
      </c>
      <c r="E96" s="81" t="str">
        <f>PR!E94</f>
        <v>Andrew Harris</v>
      </c>
      <c r="F96" s="82">
        <f>PR!F94</f>
        <v>46278</v>
      </c>
      <c r="G96" s="81">
        <f>PR!G94</f>
        <v>310</v>
      </c>
      <c r="H96" s="81" t="str">
        <f>PR!H94</f>
        <v>Stationery order</v>
      </c>
      <c r="I96" s="81" t="str">
        <f>PR!I94</f>
        <v>PAY-7089</v>
      </c>
      <c r="J96" s="81">
        <f>PR!J94</f>
        <v>0</v>
      </c>
      <c r="K96" s="82">
        <f>PR!K94</f>
        <v>46280</v>
      </c>
      <c r="L96" s="81">
        <f>PR!L94</f>
        <v>155</v>
      </c>
      <c r="M96" s="81">
        <f>PR!M94</f>
        <v>155</v>
      </c>
      <c r="N96" s="81">
        <f ca="1">PR!N94</f>
        <v>158.1</v>
      </c>
      <c r="O96" s="93" t="str">
        <f>IF(Table6[[#This Row],[Outstanding Amount]]="Paid All","P",IF(Table6[[#This Row],[Outstanding Amount]]&lt;0,"U","D"))</f>
        <v>D</v>
      </c>
      <c r="P96" s="90" t="str">
        <f>IF(Table6[[#This Row],[Status Code]]="D","DUE",IF(Table6[[#This Row],[Status Code]]="U","UNPAID","PAID"))</f>
        <v>DUE</v>
      </c>
      <c r="Q96" s="97" t="str">
        <f>IF(Table6[[#This Row],[Status ]]="UNPAID",Table6[[#This Row],[Outstanding Amount]],"")</f>
        <v/>
      </c>
    </row>
    <row r="97" spans="3:17" x14ac:dyDescent="0.3">
      <c r="C97" s="83">
        <f t="shared" si="1"/>
        <v>90</v>
      </c>
      <c r="D97" s="83" t="str">
        <f>PR!D95</f>
        <v>INV-2026-090</v>
      </c>
      <c r="E97" s="81" t="str">
        <f>PR!E95</f>
        <v>Edith Martin</v>
      </c>
      <c r="F97" s="82">
        <f>PR!F95</f>
        <v>46282</v>
      </c>
      <c r="G97" s="81">
        <f>PR!G95</f>
        <v>1265.75</v>
      </c>
      <c r="H97" s="81" t="str">
        <f>PR!H95</f>
        <v>Training services</v>
      </c>
      <c r="I97" s="81" t="str">
        <f>PR!I95</f>
        <v>PAY-7090</v>
      </c>
      <c r="J97" s="81">
        <f>PR!J95</f>
        <v>0</v>
      </c>
      <c r="K97" s="82">
        <f>PR!K95</f>
        <v>46286</v>
      </c>
      <c r="L97" s="81">
        <f>PR!L95</f>
        <v>632.875</v>
      </c>
      <c r="M97" s="81">
        <f>PR!M95</f>
        <v>632.875</v>
      </c>
      <c r="N97" s="81">
        <f ca="1">PR!N95</f>
        <v>639.20375000000001</v>
      </c>
      <c r="O97" s="93" t="str">
        <f>IF(Table6[[#This Row],[Outstanding Amount]]="Paid All","P",IF(Table6[[#This Row],[Outstanding Amount]]&lt;0,"U","D"))</f>
        <v>D</v>
      </c>
      <c r="P97" s="90" t="str">
        <f>IF(Table6[[#This Row],[Status Code]]="D","DUE",IF(Table6[[#This Row],[Status Code]]="U","UNPAID","PAID"))</f>
        <v>DUE</v>
      </c>
      <c r="Q97" s="97" t="str">
        <f>IF(Table6[[#This Row],[Status ]]="UNPAID",Table6[[#This Row],[Outstanding Amount]],"")</f>
        <v/>
      </c>
    </row>
    <row r="98" spans="3:17" x14ac:dyDescent="0.3">
      <c r="C98" s="81">
        <f t="shared" si="1"/>
        <v>91</v>
      </c>
      <c r="D98" s="81" t="str">
        <f>PR!D96</f>
        <v>INV-2026-091</v>
      </c>
      <c r="E98" s="81" t="str">
        <f>PR!E96</f>
        <v>Matthew Moore</v>
      </c>
      <c r="F98" s="82">
        <f>PR!F96</f>
        <v>46286</v>
      </c>
      <c r="G98" s="81">
        <f>PR!G96</f>
        <v>695</v>
      </c>
      <c r="H98" s="81" t="str">
        <f>PR!H96</f>
        <v>Office supplies</v>
      </c>
      <c r="I98" s="81" t="str">
        <f>PR!I96</f>
        <v>PAY-7091</v>
      </c>
      <c r="J98" s="81">
        <f>PR!J96</f>
        <v>0</v>
      </c>
      <c r="K98" s="82">
        <f>PR!K96</f>
        <v>46288</v>
      </c>
      <c r="L98" s="81">
        <f>PR!L96</f>
        <v>347.5</v>
      </c>
      <c r="M98" s="81">
        <f>PR!M96</f>
        <v>347.5</v>
      </c>
      <c r="N98" s="81">
        <f ca="1">PR!N96</f>
        <v>347.5</v>
      </c>
      <c r="O98" s="93" t="str">
        <f>IF(Table6[[#This Row],[Outstanding Amount]]="Paid All","P",IF(Table6[[#This Row],[Outstanding Amount]]&lt;0,"U","D"))</f>
        <v>D</v>
      </c>
      <c r="P98" s="90" t="str">
        <f>IF(Table6[[#This Row],[Status Code]]="D","DUE",IF(Table6[[#This Row],[Status Code]]="U","UNPAID","PAID"))</f>
        <v>DUE</v>
      </c>
      <c r="Q98" s="97" t="str">
        <f>IF(Table6[[#This Row],[Status ]]="UNPAID",Table6[[#This Row],[Outstanding Amount]],"")</f>
        <v/>
      </c>
    </row>
    <row r="99" spans="3:17" x14ac:dyDescent="0.3">
      <c r="C99" s="83">
        <f t="shared" si="1"/>
        <v>92</v>
      </c>
      <c r="D99" s="83" t="str">
        <f>PR!D97</f>
        <v>INV-2026-092</v>
      </c>
      <c r="E99" s="81" t="str">
        <f>PR!E97</f>
        <v>Sarah Taylor</v>
      </c>
      <c r="F99" s="82">
        <f>PR!F97</f>
        <v>46290</v>
      </c>
      <c r="G99" s="81">
        <f>PR!G97</f>
        <v>2190.25</v>
      </c>
      <c r="H99" s="81" t="str">
        <f>PR!H97</f>
        <v>Consulting services</v>
      </c>
      <c r="I99" s="81" t="str">
        <f>PR!I97</f>
        <v>PAY-7092</v>
      </c>
      <c r="J99" s="81">
        <f>PR!J97</f>
        <v>0</v>
      </c>
      <c r="K99" s="82">
        <f>PR!K97</f>
        <v>46294</v>
      </c>
      <c r="L99" s="81">
        <f>PR!L97</f>
        <v>1095.125</v>
      </c>
      <c r="M99" s="81">
        <f>PR!M97</f>
        <v>1095.125</v>
      </c>
      <c r="N99" s="81">
        <f ca="1">PR!N97</f>
        <v>1095.125</v>
      </c>
      <c r="O99" s="93" t="str">
        <f>IF(Table6[[#This Row],[Outstanding Amount]]="Paid All","P",IF(Table6[[#This Row],[Outstanding Amount]]&lt;0,"U","D"))</f>
        <v>D</v>
      </c>
      <c r="P99" s="90" t="str">
        <f>IF(Table6[[#This Row],[Status Code]]="D","DUE",IF(Table6[[#This Row],[Status Code]]="U","UNPAID","PAID"))</f>
        <v>DUE</v>
      </c>
      <c r="Q99" s="97" t="str">
        <f>IF(Table6[[#This Row],[Status ]]="UNPAID",Table6[[#This Row],[Outstanding Amount]],"")</f>
        <v/>
      </c>
    </row>
    <row r="100" spans="3:17" x14ac:dyDescent="0.3">
      <c r="C100" s="81">
        <f t="shared" si="1"/>
        <v>93</v>
      </c>
      <c r="D100" s="81" t="str">
        <f>PR!D98</f>
        <v>INV-2026-093</v>
      </c>
      <c r="E100" s="81" t="str">
        <f>PR!E98</f>
        <v>Anthony Anderson</v>
      </c>
      <c r="F100" s="82">
        <f>PR!F98</f>
        <v>46294</v>
      </c>
      <c r="G100" s="81">
        <f>PR!G98</f>
        <v>830</v>
      </c>
      <c r="H100" s="81" t="str">
        <f>PR!H98</f>
        <v>Equipment purchase</v>
      </c>
      <c r="I100" s="81" t="str">
        <f>PR!I98</f>
        <v>PAY-7093</v>
      </c>
      <c r="J100" s="81">
        <f>PR!J98</f>
        <v>830</v>
      </c>
      <c r="K100" s="82">
        <f>PR!K98</f>
        <v>46296</v>
      </c>
      <c r="L100" s="81">
        <f>PR!L98</f>
        <v>830</v>
      </c>
      <c r="M100" s="81" t="str">
        <f>PR!M98</f>
        <v>Paid All</v>
      </c>
      <c r="N100" s="81">
        <f ca="1">PR!N98</f>
        <v>830</v>
      </c>
      <c r="O100" s="93" t="str">
        <f>IF(Table6[[#This Row],[Outstanding Amount]]="Paid All","P",IF(Table6[[#This Row],[Outstanding Amount]]&lt;0,"U","D"))</f>
        <v>P</v>
      </c>
      <c r="P100" s="90" t="str">
        <f>IF(Table6[[#This Row],[Status Code]]="D","DUE",IF(Table6[[#This Row],[Status Code]]="U","UNPAID","PAID"))</f>
        <v>PAID</v>
      </c>
      <c r="Q100" s="97" t="str">
        <f>IF(Table6[[#This Row],[Status ]]="UNPAID",Table6[[#This Row],[Outstanding Amount]],"")</f>
        <v/>
      </c>
    </row>
    <row r="101" spans="3:17" x14ac:dyDescent="0.3">
      <c r="C101" s="83">
        <f t="shared" si="1"/>
        <v>94</v>
      </c>
      <c r="D101" s="83" t="str">
        <f>PR!D99</f>
        <v>INV-2026-094</v>
      </c>
      <c r="E101" s="81" t="str">
        <f>PR!E99</f>
        <v>Jane Thomas</v>
      </c>
      <c r="F101" s="82">
        <f>PR!F99</f>
        <v>46299</v>
      </c>
      <c r="G101" s="81">
        <f>PR!G99</f>
        <v>455.5</v>
      </c>
      <c r="H101" s="81" t="str">
        <f>PR!H99</f>
        <v>Monthly subscription</v>
      </c>
      <c r="I101" s="81" t="str">
        <f>PR!I99</f>
        <v>PAY-7094</v>
      </c>
      <c r="J101" s="81">
        <f>PR!J99</f>
        <v>0</v>
      </c>
      <c r="K101" s="82">
        <f>PR!K99</f>
        <v>46301</v>
      </c>
      <c r="L101" s="81">
        <f>PR!L99</f>
        <v>227.75</v>
      </c>
      <c r="M101" s="81">
        <f>PR!M99</f>
        <v>227.75</v>
      </c>
      <c r="N101" s="81">
        <f ca="1">PR!N99</f>
        <v>227.75</v>
      </c>
      <c r="O101" s="93" t="str">
        <f>IF(Table6[[#This Row],[Outstanding Amount]]="Paid All","P",IF(Table6[[#This Row],[Outstanding Amount]]&lt;0,"U","D"))</f>
        <v>D</v>
      </c>
      <c r="P101" s="90" t="str">
        <f>IF(Table6[[#This Row],[Status Code]]="D","DUE",IF(Table6[[#This Row],[Status Code]]="U","UNPAID","PAID"))</f>
        <v>DUE</v>
      </c>
      <c r="Q101" s="97" t="str">
        <f>IF(Table6[[#This Row],[Status ]]="UNPAID",Table6[[#This Row],[Outstanding Amount]],"")</f>
        <v/>
      </c>
    </row>
    <row r="102" spans="3:17" x14ac:dyDescent="0.3">
      <c r="C102" s="81">
        <f t="shared" si="1"/>
        <v>95</v>
      </c>
      <c r="D102" s="81" t="str">
        <f>PR!D100</f>
        <v>INV-2026-095</v>
      </c>
      <c r="E102" s="81" t="str">
        <f>PR!E100</f>
        <v>Peter Jackson</v>
      </c>
      <c r="F102" s="82">
        <f>PR!F100</f>
        <v>46302</v>
      </c>
      <c r="G102" s="81">
        <f>PR!G100</f>
        <v>2575</v>
      </c>
      <c r="H102" s="81" t="str">
        <f>PR!H100</f>
        <v>Project delivery</v>
      </c>
      <c r="I102" s="81" t="str">
        <f>PR!I100</f>
        <v>PAY-7095</v>
      </c>
      <c r="J102" s="81">
        <f>PR!J100</f>
        <v>0</v>
      </c>
      <c r="K102" s="82">
        <f>PR!K100</f>
        <v>46304</v>
      </c>
      <c r="L102" s="81">
        <f>PR!L100</f>
        <v>1287.5</v>
      </c>
      <c r="M102" s="81">
        <f>PR!M100</f>
        <v>1287.5</v>
      </c>
      <c r="N102" s="81">
        <f ca="1">PR!N100</f>
        <v>1287.5</v>
      </c>
      <c r="O102" s="93" t="str">
        <f>IF(Table6[[#This Row],[Outstanding Amount]]="Paid All","P",IF(Table6[[#This Row],[Outstanding Amount]]&lt;0,"U","D"))</f>
        <v>D</v>
      </c>
      <c r="P102" s="90" t="str">
        <f>IF(Table6[[#This Row],[Status Code]]="D","DUE",IF(Table6[[#This Row],[Status Code]]="U","UNPAID","PAID"))</f>
        <v>DUE</v>
      </c>
      <c r="Q102" s="97" t="str">
        <f>IF(Table6[[#This Row],[Status ]]="UNPAID",Table6[[#This Row],[Outstanding Amount]],"")</f>
        <v/>
      </c>
    </row>
    <row r="103" spans="3:17" x14ac:dyDescent="0.3">
      <c r="C103" s="83">
        <f t="shared" si="1"/>
        <v>96</v>
      </c>
      <c r="D103" s="83" t="str">
        <f>PR!D101</f>
        <v>INV-2026-096</v>
      </c>
      <c r="E103" s="81" t="str">
        <f>PR!E101</f>
        <v>Lucy White</v>
      </c>
      <c r="F103" s="82">
        <f>PR!F101</f>
        <v>46267</v>
      </c>
      <c r="G103" s="81">
        <f>PR!G101</f>
        <v>725.25</v>
      </c>
      <c r="H103" s="81" t="str">
        <f>PR!H101</f>
        <v>Marketing services</v>
      </c>
      <c r="I103" s="81" t="str">
        <f>PR!I101</f>
        <v>PAY-7096</v>
      </c>
      <c r="J103" s="81">
        <f>PR!J101</f>
        <v>0</v>
      </c>
      <c r="K103" s="82">
        <f>PR!K101</f>
        <v>46269</v>
      </c>
      <c r="L103" s="81">
        <f>PR!L101</f>
        <v>362.625</v>
      </c>
      <c r="M103" s="81">
        <f>PR!M101</f>
        <v>362.625</v>
      </c>
      <c r="N103" s="81">
        <f ca="1">PR!N101</f>
        <v>391.63499999999999</v>
      </c>
      <c r="O103" s="93" t="str">
        <f>IF(Table6[[#This Row],[Outstanding Amount]]="Paid All","P",IF(Table6[[#This Row],[Outstanding Amount]]&lt;0,"U","D"))</f>
        <v>D</v>
      </c>
      <c r="P103" s="90" t="str">
        <f>IF(Table6[[#This Row],[Status Code]]="D","DUE",IF(Table6[[#This Row],[Status Code]]="U","UNPAID","PAID"))</f>
        <v>DUE</v>
      </c>
      <c r="Q103" s="97" t="str">
        <f>IF(Table6[[#This Row],[Status ]]="UNPAID",Table6[[#This Row],[Outstanding Amount]],"")</f>
        <v/>
      </c>
    </row>
    <row r="104" spans="3:17" x14ac:dyDescent="0.3">
      <c r="C104" s="81">
        <f t="shared" si="1"/>
        <v>97</v>
      </c>
      <c r="D104" s="81" t="str">
        <f>PR!D102</f>
        <v>INV-2026-097</v>
      </c>
      <c r="E104" s="81" t="str">
        <f>PR!E102</f>
        <v>Stephen Harris</v>
      </c>
      <c r="F104" s="82">
        <f>PR!F102</f>
        <v>46302</v>
      </c>
      <c r="G104" s="81">
        <f>PR!G102</f>
        <v>1035</v>
      </c>
      <c r="H104" s="81" t="str">
        <f>PR!H102</f>
        <v>Maintenance services</v>
      </c>
      <c r="I104" s="81" t="str">
        <f>PR!I102</f>
        <v>PAY-7097</v>
      </c>
      <c r="J104" s="81">
        <f>PR!J102</f>
        <v>0</v>
      </c>
      <c r="K104" s="82">
        <f>PR!K102</f>
        <v>46304</v>
      </c>
      <c r="L104" s="81">
        <f>PR!L102</f>
        <v>517.5</v>
      </c>
      <c r="M104" s="81">
        <f>PR!M102</f>
        <v>517.5</v>
      </c>
      <c r="N104" s="81">
        <f ca="1">PR!N102</f>
        <v>517.5</v>
      </c>
      <c r="O104" s="93" t="str">
        <f>IF(Table6[[#This Row],[Outstanding Amount]]="Paid All","P",IF(Table6[[#This Row],[Outstanding Amount]]&lt;0,"U","D"))</f>
        <v>D</v>
      </c>
      <c r="P104" s="90" t="str">
        <f>IF(Table6[[#This Row],[Status Code]]="D","DUE",IF(Table6[[#This Row],[Status Code]]="U","UNPAID","PAID"))</f>
        <v>DUE</v>
      </c>
      <c r="Q104" s="97" t="str">
        <f>IF(Table6[[#This Row],[Status ]]="UNPAID",Table6[[#This Row],[Outstanding Amount]],"")</f>
        <v/>
      </c>
    </row>
    <row r="105" spans="3:17" x14ac:dyDescent="0.3">
      <c r="C105" s="83">
        <f t="shared" si="1"/>
        <v>98</v>
      </c>
      <c r="D105" s="83" t="str">
        <f>PR!D103</f>
        <v>INV-2026-098</v>
      </c>
      <c r="E105" s="81" t="str">
        <f>PR!E103</f>
        <v>Anna Martin</v>
      </c>
      <c r="F105" s="82">
        <f>PR!F103</f>
        <v>46224</v>
      </c>
      <c r="G105" s="81">
        <f>PR!G103</f>
        <v>1695.5</v>
      </c>
      <c r="H105" s="81" t="str">
        <f>PR!H103</f>
        <v>Software licence</v>
      </c>
      <c r="I105" s="81" t="str">
        <f>PR!I103</f>
        <v>PAY-7098</v>
      </c>
      <c r="J105" s="81">
        <f>PR!J103</f>
        <v>0</v>
      </c>
      <c r="K105" s="82">
        <f>PR!K103</f>
        <v>46226</v>
      </c>
      <c r="L105" s="81">
        <f>PR!L103</f>
        <v>847.75</v>
      </c>
      <c r="M105" s="81">
        <f>PR!M103</f>
        <v>847.75</v>
      </c>
      <c r="N105" s="81">
        <f ca="1">PR!N103</f>
        <v>1144.4625000000001</v>
      </c>
      <c r="O105" s="93" t="str">
        <f>IF(Table6[[#This Row],[Outstanding Amount]]="Paid All","P",IF(Table6[[#This Row],[Outstanding Amount]]&lt;0,"U","D"))</f>
        <v>D</v>
      </c>
      <c r="P105" s="90" t="str">
        <f>IF(Table6[[#This Row],[Status Code]]="D","DUE",IF(Table6[[#This Row],[Status Code]]="U","UNPAID","PAID"))</f>
        <v>DUE</v>
      </c>
      <c r="Q105" s="97" t="str">
        <f>IF(Table6[[#This Row],[Status ]]="UNPAID",Table6[[#This Row],[Outstanding Amount]],"")</f>
        <v/>
      </c>
    </row>
    <row r="106" spans="3:17" x14ac:dyDescent="0.3">
      <c r="C106" s="81">
        <f t="shared" si="1"/>
        <v>99</v>
      </c>
      <c r="D106" s="81" t="str">
        <f>PR!D104</f>
        <v>INV-2026-099</v>
      </c>
      <c r="E106" s="81" t="str">
        <f>PR!E104</f>
        <v>Timothy Moore</v>
      </c>
      <c r="F106" s="82">
        <f>PR!F104</f>
        <v>46325</v>
      </c>
      <c r="G106" s="81">
        <f>PR!G104</f>
        <v>335.75</v>
      </c>
      <c r="H106" s="81" t="str">
        <f>PR!H104</f>
        <v>Stationery order</v>
      </c>
      <c r="I106" s="81" t="str">
        <f>PR!I104</f>
        <v>PAY-7099</v>
      </c>
      <c r="J106" s="81">
        <f>PR!J104</f>
        <v>0</v>
      </c>
      <c r="K106" s="82">
        <f>PR!K104</f>
        <v>46329</v>
      </c>
      <c r="L106" s="81">
        <f>PR!L104</f>
        <v>167.875</v>
      </c>
      <c r="M106" s="81">
        <f>PR!M104</f>
        <v>167.875</v>
      </c>
      <c r="N106" s="81">
        <f ca="1">PR!N104</f>
        <v>167.875</v>
      </c>
      <c r="O106" s="93" t="str">
        <f>IF(Table6[[#This Row],[Outstanding Amount]]="Paid All","P",IF(Table6[[#This Row],[Outstanding Amount]]&lt;0,"U","D"))</f>
        <v>D</v>
      </c>
      <c r="P106" s="90" t="str">
        <f>IF(Table6[[#This Row],[Status Code]]="D","DUE",IF(Table6[[#This Row],[Status Code]]="U","UNPAID","PAID"))</f>
        <v>DUE</v>
      </c>
      <c r="Q106" s="97" t="str">
        <f>IF(Table6[[#This Row],[Status ]]="UNPAID",Table6[[#This Row],[Outstanding Amount]],"")</f>
        <v/>
      </c>
    </row>
    <row r="107" spans="3:17" x14ac:dyDescent="0.3">
      <c r="C107" s="83">
        <f t="shared" si="1"/>
        <v>100</v>
      </c>
      <c r="D107" s="83" t="str">
        <f>PR!D105</f>
        <v>INV-2026-100</v>
      </c>
      <c r="E107" s="81" t="str">
        <f>PR!E105</f>
        <v>Victoria Taylor</v>
      </c>
      <c r="F107" s="82">
        <f>PR!F105</f>
        <v>46253</v>
      </c>
      <c r="G107" s="81">
        <f>PR!G105</f>
        <v>1285</v>
      </c>
      <c r="H107" s="81" t="str">
        <f>PR!H105</f>
        <v>Training services</v>
      </c>
      <c r="I107" s="81" t="str">
        <f>PR!I105</f>
        <v>PAY-7100</v>
      </c>
      <c r="J107" s="81">
        <f>PR!J105</f>
        <v>0</v>
      </c>
      <c r="K107" s="82">
        <f>PR!K105</f>
        <v>46255</v>
      </c>
      <c r="L107" s="81">
        <f>PR!L105</f>
        <v>642.5</v>
      </c>
      <c r="M107" s="81">
        <f>PR!M105</f>
        <v>642.5</v>
      </c>
      <c r="N107" s="81">
        <f ca="1">PR!N105</f>
        <v>751.72500000000002</v>
      </c>
      <c r="O107" s="93" t="str">
        <f>IF(Table6[[#This Row],[Outstanding Amount]]="Paid All","P",IF(Table6[[#This Row],[Outstanding Amount]]&lt;0,"U","D"))</f>
        <v>D</v>
      </c>
      <c r="P107" s="91" t="str">
        <f>IF(Table6[[#This Row],[Status Code]]="D","DUE",IF(Table6[[#This Row],[Status Code]]="U","UNPAID","PAID"))</f>
        <v>DUE</v>
      </c>
      <c r="Q107" s="97" t="str">
        <f>IF(Table6[[#This Row],[Status ]]="UNPAID",Table6[[#This Row],[Outstanding Amount]],"")</f>
        <v/>
      </c>
    </row>
    <row r="108" spans="3:17" x14ac:dyDescent="0.3">
      <c r="C108" s="81">
        <f t="shared" si="1"/>
        <v>101</v>
      </c>
      <c r="D108" s="81"/>
      <c r="E108" s="81"/>
      <c r="F108" s="82"/>
      <c r="G108" s="81"/>
      <c r="H108" s="81"/>
      <c r="I108" s="81"/>
      <c r="J108" s="81"/>
      <c r="K108" s="82"/>
      <c r="L108" s="81"/>
      <c r="M108" s="81"/>
      <c r="N108" s="81"/>
      <c r="O108" s="93"/>
      <c r="P108" s="87"/>
      <c r="Q108" s="97"/>
    </row>
    <row r="109" spans="3:17" x14ac:dyDescent="0.3">
      <c r="C109" s="83">
        <f t="shared" si="1"/>
        <v>102</v>
      </c>
      <c r="D109" s="83"/>
      <c r="E109" s="81"/>
      <c r="F109" s="82"/>
      <c r="G109" s="81"/>
      <c r="H109" s="81"/>
      <c r="I109" s="81"/>
      <c r="J109" s="81"/>
      <c r="K109" s="82"/>
      <c r="L109" s="81"/>
      <c r="M109" s="81"/>
      <c r="N109" s="81"/>
      <c r="O109" s="93"/>
      <c r="P109" s="87"/>
      <c r="Q109" s="97"/>
    </row>
    <row r="110" spans="3:17" x14ac:dyDescent="0.3">
      <c r="C110" s="81">
        <f t="shared" si="1"/>
        <v>103</v>
      </c>
      <c r="D110" s="81"/>
      <c r="E110" s="81"/>
      <c r="F110" s="82"/>
      <c r="G110" s="81"/>
      <c r="H110" s="81"/>
      <c r="I110" s="81"/>
      <c r="J110" s="81"/>
      <c r="K110" s="82"/>
      <c r="L110" s="81"/>
      <c r="M110" s="81"/>
      <c r="N110" s="81"/>
      <c r="O110" s="93"/>
      <c r="P110" s="87"/>
      <c r="Q110" s="97"/>
    </row>
    <row r="111" spans="3:17" x14ac:dyDescent="0.3">
      <c r="C111" s="83">
        <f t="shared" si="1"/>
        <v>104</v>
      </c>
      <c r="D111" s="83"/>
      <c r="E111" s="81"/>
      <c r="F111" s="82"/>
      <c r="G111" s="81"/>
      <c r="H111" s="81"/>
      <c r="I111" s="81"/>
      <c r="J111" s="81"/>
      <c r="K111" s="82"/>
      <c r="L111" s="81"/>
      <c r="M111" s="81"/>
      <c r="N111" s="81"/>
      <c r="O111" s="93"/>
      <c r="P111" s="87"/>
      <c r="Q111" s="97"/>
    </row>
    <row r="112" spans="3:17" ht="15" thickBot="1" x14ac:dyDescent="0.35">
      <c r="C112" s="62">
        <f t="shared" si="1"/>
        <v>105</v>
      </c>
      <c r="D112" s="70"/>
      <c r="E112" s="81"/>
      <c r="F112" s="82"/>
      <c r="G112" s="81"/>
      <c r="H112" s="81"/>
      <c r="I112" s="81"/>
      <c r="J112" s="81"/>
      <c r="K112" s="82"/>
      <c r="L112" s="81"/>
      <c r="M112" s="81"/>
      <c r="N112" s="81"/>
      <c r="O112" s="93"/>
      <c r="P112" s="88"/>
      <c r="Q112" s="97"/>
    </row>
  </sheetData>
  <mergeCells count="1">
    <mergeCell ref="B2:AN4"/>
  </mergeCells>
  <conditionalFormatting sqref="Q8:Q112">
    <cfRule type="cellIs" dxfId="12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DASHBOARD</vt:lpstr>
      <vt:lpstr>IR</vt:lpstr>
      <vt:lpstr>PR</vt:lpstr>
      <vt:lpstr>CT</vt:lpstr>
      <vt:lpstr>ARD</vt:lpstr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Hinshu Joshi</dc:creator>
  <cp:lastModifiedBy>Hinshu Joshi</cp:lastModifiedBy>
  <dcterms:created xsi:type="dcterms:W3CDTF">2015-06-05T18:17:20Z</dcterms:created>
  <dcterms:modified xsi:type="dcterms:W3CDTF">2026-10-20T10:40:44Z</dcterms:modified>
</cp:coreProperties>
</file>